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guskl\Desktop\versiones\Uipath_RPADevT_EgasGustavo\Uipath_RPADevT_EgasGustavo\"/>
    </mc:Choice>
  </mc:AlternateContent>
  <xr:revisionPtr revIDLastSave="0" documentId="13_ncr:1_{2C01C55A-3B66-43D8-A0D5-8BFC3630D848}" xr6:coauthVersionLast="47" xr6:coauthVersionMax="47" xr10:uidLastSave="{00000000-0000-0000-0000-000000000000}"/>
  <bookViews>
    <workbookView xWindow="6735" yWindow="4095" windowWidth="16125" windowHeight="11385" xr2:uid="{00000000-000D-0000-FFFF-FFFF00000000}"/>
  </bookViews>
  <sheets>
    <sheet name="POBLACION" sheetId="1" r:id="rId1"/>
    <sheet name="CLASIFICACION" sheetId="2" r:id="rId2"/>
  </sheets>
  <definedNames>
    <definedName name="_xlnm._FilterDatabase" localSheetId="1" hidden="1">CLASIFICACION!$A$1:$B$1</definedName>
    <definedName name="_xlnm._FilterDatabase" localSheetId="0" hidden="1">POBLACION!$A$1:$D$1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0" i="2" l="1"/>
  <c r="E2" i="1"/>
  <c r="E3" i="1"/>
  <c r="E4" i="1"/>
  <c r="E5" i="1"/>
  <c r="E7" i="1" l="1"/>
  <c r="E8" i="1" s="1"/>
</calcChain>
</file>

<file path=xl/sharedStrings.xml><?xml version="1.0" encoding="utf-8"?>
<sst xmlns="http://schemas.openxmlformats.org/spreadsheetml/2006/main" count="389" uniqueCount="286">
  <si>
    <t>Número Telefónico</t>
  </si>
  <si>
    <t>Nombre del Propietario</t>
  </si>
  <si>
    <t>Dirección</t>
  </si>
  <si>
    <t>Localidad</t>
  </si>
  <si>
    <t>Número Reservado</t>
  </si>
  <si>
    <t>33035825</t>
  </si>
  <si>
    <t>LILIANA JIMENEZ MORALES</t>
  </si>
  <si>
    <t>ECHEANDIA 0 SECTOR PIEDRA GRANDE SECTOR PIEDRA GRANDE</t>
  </si>
  <si>
    <t>ECHEANDIA</t>
  </si>
  <si>
    <t>33032822</t>
  </si>
  <si>
    <t>ROSA MARIA MORALES CARRERA</t>
  </si>
  <si>
    <t>AV PRINCIPAL 0 SECTOR EL PORVENIR SECTOR EL PORVENIR</t>
  </si>
  <si>
    <t>LAS NAVES</t>
  </si>
  <si>
    <t>33032796</t>
  </si>
  <si>
    <t>MORALES GAVILANEZ RAUL EPIFANIO</t>
  </si>
  <si>
    <t>AVENIDA PRINCIPAL 0 LA DELICIA LA DELICIA</t>
  </si>
  <si>
    <t>33032794</t>
  </si>
  <si>
    <t>MORALES VARGAS JUDITH ORFELINA</t>
  </si>
  <si>
    <t>33032772</t>
  </si>
  <si>
    <t>MORALES VARGAS LIDA JOSEFINA</t>
  </si>
  <si>
    <t>AVENIDA PRINCIPAL 0 TABANAL TABANAL</t>
  </si>
  <si>
    <t>33032497</t>
  </si>
  <si>
    <t>MORALES GARCIA JUDITH FABIOLA</t>
  </si>
  <si>
    <t>CALLE PRINCIPAL 0 SAN GERARDO SAN GERARDO</t>
  </si>
  <si>
    <t>33032222</t>
  </si>
  <si>
    <t>JIMENEZ MORALES MAYRA ALICIA</t>
  </si>
  <si>
    <t>CALLE PRINCIPAL 0 SECTOR SAN GERARDO SECTOR SAN GERARDO</t>
  </si>
  <si>
    <t>33032113</t>
  </si>
  <si>
    <t>GUILLIN MORALES CARLOS ARMANDO</t>
  </si>
  <si>
    <t>33032101</t>
  </si>
  <si>
    <t>MORALES ORELLANA DOLORES AURORA</t>
  </si>
  <si>
    <t>CALLE PRINCIPAL 0</t>
  </si>
  <si>
    <t>33031982</t>
  </si>
  <si>
    <t>MORALES NARVAEZ MARCELA ADELINA</t>
  </si>
  <si>
    <t>CALLE PRINCIPAL 0 SECTOR LA OBDULIA SECTOR LA OBDULIA</t>
  </si>
  <si>
    <t>33031979</t>
  </si>
  <si>
    <t>CAMACHO MORALES MARIANA ELIZABETH</t>
  </si>
  <si>
    <t>CALLE PRINCIPAL 0 SECTOR LAS MALVINAS SECTOR LAS MALVINAS</t>
  </si>
  <si>
    <t>33031870</t>
  </si>
  <si>
    <t>CAMACHO MORALES MELVA CARMITA</t>
  </si>
  <si>
    <t>CALLE PRINCIPAL 0 SECTOR SABANETILLAS SECTOR SABANETILLAS</t>
  </si>
  <si>
    <t>33031832</t>
  </si>
  <si>
    <t>MORALES ORELLANA BLANCA ERLINDA</t>
  </si>
  <si>
    <t>33019005</t>
  </si>
  <si>
    <t>MARIANA DE JESUS MORALES</t>
  </si>
  <si>
    <t>SAN JOSE DE CHIMBO</t>
  </si>
  <si>
    <t>33012474</t>
  </si>
  <si>
    <t>MARCELA NATIVIDAD MORALES VELEZ</t>
  </si>
  <si>
    <t>VIA PRINCIPAL 0 SECTOR PILCO PITIC SECTOR PILCO PITIC</t>
  </si>
  <si>
    <t>TELIMBELA</t>
  </si>
  <si>
    <t>33011907</t>
  </si>
  <si>
    <t>MORALES LUCIO EVA CONCEPCION</t>
  </si>
  <si>
    <t>VIA PRINCIPAL 0 SECTOR EL CAHUICHE SAN VICENTE SECTOR EL CAHUICHE SAN VICENTE</t>
  </si>
  <si>
    <t>SAN VICENTE BOLIVAR</t>
  </si>
  <si>
    <t>33010938</t>
  </si>
  <si>
    <t>CARLOS EDUARDO NARVAEZ MORALES</t>
  </si>
  <si>
    <t>33010752</t>
  </si>
  <si>
    <t>TRUJILLO MORALES JOSE ENRIQUE</t>
  </si>
  <si>
    <t>CALLE SIN NOMBRE 0 SECTOR CAPITO SECTOR CAPITO</t>
  </si>
  <si>
    <t>BILOVAN</t>
  </si>
  <si>
    <t>33010584</t>
  </si>
  <si>
    <t>CRISTOBAL LEON MORALES YANEZ</t>
  </si>
  <si>
    <t>CALLE PRINCIPAL 0 SECTOR EL CENSO SECTOR EL CENSO</t>
  </si>
  <si>
    <t>SAN MIGUEL</t>
  </si>
  <si>
    <t>33010451</t>
  </si>
  <si>
    <t>LUCIOLA RICADRINA MORALES ORELLANA</t>
  </si>
  <si>
    <t>AV PRINCIPAL 0</t>
  </si>
  <si>
    <t>SAN LUIS DE PAMBIL</t>
  </si>
  <si>
    <t>33010426</t>
  </si>
  <si>
    <t>NAPOLEON SALOMON MORALES</t>
  </si>
  <si>
    <t>CALLE PRINCIPAL 0 SECTOR CHAUPIURCO SECTOR CHAUPIURCO</t>
  </si>
  <si>
    <t>LA ASUNCION</t>
  </si>
  <si>
    <t>32989783</t>
  </si>
  <si>
    <t>MORALES ROMERO SULEMA GRACIELA</t>
  </si>
  <si>
    <t>VEINTIMILLA 31 Y SANTO CRISTO BARRIO</t>
  </si>
  <si>
    <t>32989357</t>
  </si>
  <si>
    <t>MORALES GARCIA CELSO ARTURO</t>
  </si>
  <si>
    <t>VEINTIMILLA 0 Y SANTO CRISTO VEINTIMILLA 0 BARRIO SANTO CRISTO</t>
  </si>
  <si>
    <t>32989272</t>
  </si>
  <si>
    <t>MORALES LUCIO BERTHA AMABLE</t>
  </si>
  <si>
    <t>GUAYAS Y GONZALEZ SUAREZ</t>
  </si>
  <si>
    <t>32989202</t>
  </si>
  <si>
    <t>QUISIRUMBAY MORALES JAIME ROSENDO</t>
  </si>
  <si>
    <t>GUAYAS Y PEDRO CARBO</t>
  </si>
  <si>
    <t>32988351</t>
  </si>
  <si>
    <t>RAMOS MORALES FANNY HONORINDA</t>
  </si>
  <si>
    <t>ISIDRO AYORA 392 Y SAN JOSE DE CHIMBO</t>
  </si>
  <si>
    <t>32985932</t>
  </si>
  <si>
    <t>MORALES RIBADENEIRA ALBA JIMENA</t>
  </si>
  <si>
    <t>5 DE JUNIO 0 Y LOS LIRIOS URBANIZACION 24 DE MAYO SECTOR 5 DE JUNIO SECTOR 5 DE JUNIO</t>
  </si>
  <si>
    <t>GUARANDA</t>
  </si>
  <si>
    <t>32985729</t>
  </si>
  <si>
    <t>ZURITA MORALES MARTINA JAQUELINE</t>
  </si>
  <si>
    <t>ALFREDO NOBOA 0 Y AUGUSTO CHAVES BARRIO LA HUMBERDINA BARRIO-LA HUMBERDINA ALFREDO NOBOA</t>
  </si>
  <si>
    <t>32984207</t>
  </si>
  <si>
    <t>MORALES PAZMI�O VITELIA LEONOR</t>
  </si>
  <si>
    <t>9 DE ABRIL 207 Y ESPEJO 9 DE ABRIL</t>
  </si>
  <si>
    <t>32983364</t>
  </si>
  <si>
    <t>PINOS MORALES CARMITA LORENA</t>
  </si>
  <si>
    <t>VIA AL CORTIJO 0 SECTOR EL PORTAL SECTOR-EL PORTAL TRAS TALLERES DEL CONSEJO PROVINCIAL</t>
  </si>
  <si>
    <t>32982326</t>
  </si>
  <si>
    <t>TERAN MORALES CESAR ROLANDO</t>
  </si>
  <si>
    <t>OLMEDO Y AVENIDA CIRCUNVALACION</t>
  </si>
  <si>
    <t>32981889</t>
  </si>
  <si>
    <t>ALBAN INES MORALES</t>
  </si>
  <si>
    <t>AV. CANDIDO RADA 0U AV. CANDIDO RADA 0 Y AV GUAYAQUIL AV. CANDIDO RADA 0 Y AV GUAYAQUIL</t>
  </si>
  <si>
    <t>32980161</t>
  </si>
  <si>
    <t>MORALES ESCOBAR LUCRECIA COLOMBIA</t>
  </si>
  <si>
    <t>ROCAFUERTE 408</t>
  </si>
  <si>
    <t>32978146</t>
  </si>
  <si>
    <t>MOYANO MORALES UBEL OLMEDO</t>
  </si>
  <si>
    <t>GARCIA MORENO 0 Y 24 DE MAYO</t>
  </si>
  <si>
    <t>CHILLANES</t>
  </si>
  <si>
    <t>32976585</t>
  </si>
  <si>
    <t>TRUJILLO MORALES PEDRO PABLO</t>
  </si>
  <si>
    <t>ELIAS FIERRO 0 Y ANASTACIO FIERRO</t>
  </si>
  <si>
    <t>CALUMA</t>
  </si>
  <si>
    <t>32975327</t>
  </si>
  <si>
    <t>ORELLANA MORALES FLOR OLIMPIA</t>
  </si>
  <si>
    <t>VIA TELIMBELA 0 BARRIO SAN JOSE BARRIO-SAN JOSE</t>
  </si>
  <si>
    <t>32974693</t>
  </si>
  <si>
    <t>OLIVARES MORALES JUAN ARSECIO</t>
  </si>
  <si>
    <t>AV LA NARANJA 0 Y CELESTINO SOSA BARRIO LOS ROSALES BARRIO-LOS ROSALES .</t>
  </si>
  <si>
    <t>32974641</t>
  </si>
  <si>
    <t>CADENA MORALES SEGUNDA GLADYS</t>
  </si>
  <si>
    <t>AVENIDA LA NARANJA 0 BARRIO EL DESPERTAD BARRIO-EL DESPERTAD</t>
  </si>
  <si>
    <t>32972171</t>
  </si>
  <si>
    <t>VICENTE GERARDO CHAVEZ MORALES</t>
  </si>
  <si>
    <t>CALLE CHIMBORAZO</t>
  </si>
  <si>
    <t>LA MAGDALENA</t>
  </si>
  <si>
    <t>32972146</t>
  </si>
  <si>
    <t>MOYA MORALES ZULEMA MASJHOREE</t>
  </si>
  <si>
    <t>LA MERCED 2315</t>
  </si>
  <si>
    <t>32972065</t>
  </si>
  <si>
    <t>MORALES ECHEVERRIA GLORIA BEATRIZ</t>
  </si>
  <si>
    <t>LA MERCED 0</t>
  </si>
  <si>
    <t>32972062</t>
  </si>
  <si>
    <t>VERGARA MORALES JOSE VINICIO</t>
  </si>
  <si>
    <t>JUAN ROSENDO GONZALEZ 0 Y GUAYAS</t>
  </si>
  <si>
    <t>32970900</t>
  </si>
  <si>
    <t>MORALES GUILLIN JANETH MARLENE</t>
  </si>
  <si>
    <t>RAMON ULLOA 490 Y MARGARITA GORDILLO BARRIO MINISTERIO</t>
  </si>
  <si>
    <t>32970865</t>
  </si>
  <si>
    <t>MORALES MELIDA ALICIA</t>
  </si>
  <si>
    <t>ANGEL POLIBIO CHAVES 0 Y 5 DE OCTUBRE ANGEL POLIBIO CHAVES</t>
  </si>
  <si>
    <t>32970853</t>
  </si>
  <si>
    <t>PATRICIA ALARCON 7 CIUDADELA PATRICIA ECHEANDIA</t>
  </si>
  <si>
    <t>32970809</t>
  </si>
  <si>
    <t>MORALES ORELLANA WILSON RAUL</t>
  </si>
  <si>
    <t>CDLA PATRICIA ALARCON 48 Y -</t>
  </si>
  <si>
    <t>32970378</t>
  </si>
  <si>
    <t>MORALES CARVAJAL MARINA SOLEDAD</t>
  </si>
  <si>
    <t>MARCO BALAREZO Y RAMON ULLOA</t>
  </si>
  <si>
    <t>32970180</t>
  </si>
  <si>
    <t>MORALES GUILLIN ANA JHAKELINE</t>
  </si>
  <si>
    <t>ATALAYA 0 Y TARQUI</t>
  </si>
  <si>
    <t>32970010</t>
  </si>
  <si>
    <t>SIMON BOLIVAR 0</t>
  </si>
  <si>
    <t>32656236</t>
  </si>
  <si>
    <t>GARCIA MORALES SEGUNDO ALEJANDRO</t>
  </si>
  <si>
    <t>GABRIEL VEINTIMILLA 95 Y CALLE PRINCIPAL BARRIO SAN ANTONIO N ANTONIO</t>
  </si>
  <si>
    <t>32656033</t>
  </si>
  <si>
    <t>PEREZ MORALES PEDRO NOE</t>
  </si>
  <si>
    <t>MONSE�OR LEONIDAS PROA�O 168 ABEL TORRES OLEAS SECT PARAISO</t>
  </si>
  <si>
    <t>32655013</t>
  </si>
  <si>
    <t>BENAVIDES MORALES TRANSITO PIEDAD</t>
  </si>
  <si>
    <t>CAMINO REAL 0</t>
  </si>
  <si>
    <t>32655006</t>
  </si>
  <si>
    <t>MORALES MESTANZA LUIS VICENTE</t>
  </si>
  <si>
    <t>32652400</t>
  </si>
  <si>
    <t>MORALES CHAVEZ ROQUE ALBERTO</t>
  </si>
  <si>
    <t>DARIO MOREJON 0 Y CALLE PRINCIPAL CALLE PRINCIPAL</t>
  </si>
  <si>
    <t>32652294</t>
  </si>
  <si>
    <t>LUCIO EVA CONCEPCION MORALES</t>
  </si>
  <si>
    <t>VIA AL GUAYCO 0 Y CALLE PRINCIPAL CALLE PRINCIPAL</t>
  </si>
  <si>
    <t>32652272</t>
  </si>
  <si>
    <t>MORALES QUIROZ CLEMA MAXIMINA</t>
  </si>
  <si>
    <t>CNEL JOSE GARCIA 0 Y VEINTIMILLA LA ASUNCION CALLE CNEL JOSE GARCIA Y VEINTIMILLA</t>
  </si>
  <si>
    <t>32650426</t>
  </si>
  <si>
    <t>GOMEZ MORALES ELENA ESMERALDA</t>
  </si>
  <si>
    <t>GUAYAS 0 Y GARCIA MORENO SECTOR 24 DE MAYO</t>
  </si>
  <si>
    <t>32650350</t>
  </si>
  <si>
    <t>VALVERDE MORALES ROMULO SERVILIO</t>
  </si>
  <si>
    <t>GUAYAS 594 Y LEONIDAS EGUEZ BARRIO SAN MIGUEL ARCANGEL BARR SAN MIGUEL-ARCANGEL GUAYAS</t>
  </si>
  <si>
    <t>32650165</t>
  </si>
  <si>
    <t>ABRIL MORALES WILMER YEROVI</t>
  </si>
  <si>
    <t>QUITO 0 Y REINALDO ARGUELLO EL GUABO</t>
  </si>
  <si>
    <t>32647017</t>
  </si>
  <si>
    <t>WILMAN HERNAN MORALES SALTOS</t>
  </si>
  <si>
    <t>RECINTO SABANETILLAS 0 Y Y CALLE SIN NOMBRE BARRIO SAN GERARDO JUNTO A ESTADIO DE LAS COMUNIDADES CASA DE UN PISO COLOR MANDARIN BARRIO SAN GERARDO JUNTO A ESTADIO DE LAS COMUNIDADES CASA DE UN PISO COLOR MANDARINA CALLE SIN NOMBRE</t>
  </si>
  <si>
    <t>32646030</t>
  </si>
  <si>
    <t>BENAVIDES MORALES HOLGER ROMULO</t>
  </si>
  <si>
    <t>VIA A LLACAN GRANDE 0 Y CALLE PRINCIPAL</t>
  </si>
  <si>
    <t>LLACAN</t>
  </si>
  <si>
    <t>32646027</t>
  </si>
  <si>
    <t>NILO SABULON BENAVIDES MORALES</t>
  </si>
  <si>
    <t>ENTRADA A LLACAN CHICO 0 Y LLACAN GRANDE</t>
  </si>
  <si>
    <t>32646022</t>
  </si>
  <si>
    <t>BENAVIDES MORALES SEGUNDO ESTUARDO</t>
  </si>
  <si>
    <t>AV. PRINCIPAL 0 SECTOR LLACAN</t>
  </si>
  <si>
    <t>32638115</t>
  </si>
  <si>
    <t>MORALES ZAMBRANO JESSICA JOHANNA</t>
  </si>
  <si>
    <t>MORAYMA CARVAJAL 0 Y PEDRO VELASCO - SECTOR SANTA ROSA</t>
  </si>
  <si>
    <t>32638009</t>
  </si>
  <si>
    <t>MORALES MORALES JOSE ANIBAL</t>
  </si>
  <si>
    <t>ALFREDO CAMACHO 0 Y AV. LA NARANJA</t>
  </si>
  <si>
    <t>32557623</t>
  </si>
  <si>
    <t>VARGAS MORALES ZENON ELIAS</t>
  </si>
  <si>
    <t>AV. CANDIDO RADA 307 Y JOAQUINA GALARZA JOAQUINA GALARZA</t>
  </si>
  <si>
    <t>32556501</t>
  </si>
  <si>
    <t>ROJAS MORALES CARMEN MARGARITA</t>
  </si>
  <si>
    <t>JAIME ROLDOS A. 0 Y TIRSO POVEDA</t>
  </si>
  <si>
    <t>32554891</t>
  </si>
  <si>
    <t>PIEDAD ERNESTINA MORALES MORA</t>
  </si>
  <si>
    <t>SELVA ALEGRE 408 Y SUCRE SUCRE</t>
  </si>
  <si>
    <t>32553803</t>
  </si>
  <si>
    <t>MORALES UNDA ANGEL EDUARDO</t>
  </si>
  <si>
    <t>AV. LA PRENSA 0 Y PRENSA BAJA</t>
  </si>
  <si>
    <t>32553371</t>
  </si>
  <si>
    <t>NARANJO MORALES SARA DANIELA</t>
  </si>
  <si>
    <t>AV GUAYAQUIL 0 Y CALLE AV GUAYAQUIL SECTOR DE LA POLICIA CASA ALADO DE LA AGENCIA NACIONAL DE TRANSITO 0985813870 AV GUAYAQUIL SECTOR DE LA POLICIA CASA ALADO DE LA AGENCIA NACIONAL DE TRANSITO 0985813870 CALLE</t>
  </si>
  <si>
    <t>32553105</t>
  </si>
  <si>
    <t>TRUJILLO MORALES ROSARIO</t>
  </si>
  <si>
    <t>CORONEL GARCIA 0 Y Y MANUELA CA�IZARES CASA SIN PUERTA DE GARAJE FUNCIONA UNA PANADER�A CASA SIN PUERTA DE GARAJE FUNCIONA UNA PANADER�A MANUELA CA�IZARES</t>
  </si>
  <si>
    <t>32551989</t>
  </si>
  <si>
    <t>SISALEMA MORALES WILSON HERNAN</t>
  </si>
  <si>
    <t>ANTIGUA COLOMBIA 0 Y ROCAFUERTE</t>
  </si>
  <si>
    <t>32551940</t>
  </si>
  <si>
    <t>SANCHEZ MORALES EMMA MERCEDES</t>
  </si>
  <si>
    <t>FELICIA SOLANO 0 Y ROMULO TORRES</t>
  </si>
  <si>
    <t>32551831</t>
  </si>
  <si>
    <t>GEOFRE JAVIER PINOS MORALES</t>
  </si>
  <si>
    <t>VIA A NEGROYACO 0 Y CALLE SIN NOMBRE URB EL PORTAL URB EL PORTAL</t>
  </si>
  <si>
    <t>32551666</t>
  </si>
  <si>
    <t>REA MORALES CARLOS EFRAIN</t>
  </si>
  <si>
    <t>LA MERCED BAJA 0 Y EUCALIPTOS DIAGONAL A HOSTAL LA RUSTICA</t>
  </si>
  <si>
    <t>32551646</t>
  </si>
  <si>
    <t>FLORES MORALES ISABEL DOLORES</t>
  </si>
  <si>
    <t>SUCRE 0 Y ESPEJO SECTOR MERCADO 10 DE NOVIEMBRE SECTOR MERCADO 10 DE NOVIEMBRE</t>
  </si>
  <si>
    <t>32551510</t>
  </si>
  <si>
    <t>SANCHEZ MORALES CARLOS VICENTE</t>
  </si>
  <si>
    <t>ARTURO SALAZAR 0 CDLA NUEVOS HORIZONTEZ CDLA NUEVOS HORIZONTEZ</t>
  </si>
  <si>
    <t>32217238</t>
  </si>
  <si>
    <t>MORALES SANCHEZ GUIDO ELICIO</t>
  </si>
  <si>
    <t>VIA A LA COSTA 0 SECTOR EL RODEO SECTOR-EL RODEO</t>
  </si>
  <si>
    <t>SAN PABLO DE ATENAS</t>
  </si>
  <si>
    <t>32217217</t>
  </si>
  <si>
    <t>MORALES YANEZ CRISTOBAL EDIPTOR</t>
  </si>
  <si>
    <t>VIA A LA COSTA 0 CERCA DE LA CAPILLA//TELF: 085674337</t>
  </si>
  <si>
    <t>32217043</t>
  </si>
  <si>
    <t>SANCHEZ MORALES CRISTOBAL VINICIO</t>
  </si>
  <si>
    <t>BELISARIO BAYAS 24 Y AVENIDA 11 DE ENERO BELISARIO BAYAS</t>
  </si>
  <si>
    <t>32206633</t>
  </si>
  <si>
    <t>MONCAYO MORALES RAUL</t>
  </si>
  <si>
    <t>CALLE PRINCIPAL 0 BARRIO EL CHORRO</t>
  </si>
  <si>
    <t>GUANUJO</t>
  </si>
  <si>
    <t>32206241</t>
  </si>
  <si>
    <t>MONCAYO MORALES JAIME ELOY</t>
  </si>
  <si>
    <t>AV LOS LIBERTADORES 0 Y PANAMERICANA NORTE</t>
  </si>
  <si>
    <t>32206206</t>
  </si>
  <si>
    <t>MELIDA ELVIRA MORALES QUIROZ</t>
  </si>
  <si>
    <t>ADOLFO PAEZ PARQUE CENTRAL</t>
  </si>
  <si>
    <t>32200062</t>
  </si>
  <si>
    <t>MORALES ANGULO MARIA GEORGINA</t>
  </si>
  <si>
    <t>VIA A MONTALVO 15</t>
  </si>
  <si>
    <t>N/A</t>
  </si>
  <si>
    <t>32127723</t>
  </si>
  <si>
    <t>MORALES VERDEZOTO LIBIA VIOLETA</t>
  </si>
  <si>
    <t>GUAYAS 0 Y ANGEL COLOMA frente a la plaza en el asadero de pollo santa marianita frente a la plaza en el asadero de pollo santa marianita ANGEL COLOMA</t>
  </si>
  <si>
    <t>32127663</t>
  </si>
  <si>
    <t>MORALES LOPEZ HERMINIO MESIAS</t>
  </si>
  <si>
    <t>MODESTO ANGULO 0 Y VEINTIMILLA CASA BEICH CASA BEICH VEINTIMILLA</t>
  </si>
  <si>
    <t>32127183</t>
  </si>
  <si>
    <t>GALLO MORALES JOSELYN ESTEFANIA</t>
  </si>
  <si>
    <t>GUAYAS 921Y Y GONZALES SUAREZ JUNTO A COMERCIAL DON CAUCAMOTE CASA DE TRES PISOS COLOR AMARILLO CON VERDE JUNTO A COMERCIAL DON CAUCAMOTE CASA DE TRES PISOS COLOR AMARILLO CON VERDE</t>
  </si>
  <si>
    <t>32127105</t>
  </si>
  <si>
    <t>GARCIA MORALES BEATRIZ MARCIA</t>
  </si>
  <si>
    <t>AV DEL ESTADIO 0 Y OLMEDO</t>
  </si>
  <si>
    <t>32127039</t>
  </si>
  <si>
    <t>MORALES NARANJO GEOVANNY</t>
  </si>
  <si>
    <t>SUCRE 0 Y BOLIVAR</t>
  </si>
  <si>
    <t>32127024</t>
  </si>
  <si>
    <t>CHAVEZ MORALES CARLOS ALBERTO</t>
  </si>
  <si>
    <t>AVENIDA VELASCO IBARRA 1448 Y OLMEDO AVENIDA VELASCO IBARRA</t>
  </si>
  <si>
    <t>Total de números por Localidad</t>
  </si>
  <si>
    <t>Total general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</si>
</sst>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4"/>
      <name val="Calibri"/>
      <family val="2"/>
      <scheme val="minor"/>
    </font>
    <font>
      <b/>
      <sz val="11"/>
      <color theme="1"/>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rgb="FFFFC000"/>
        <bgColor indexed="64"/>
      </patternFill>
    </fill>
  </fills>
  <borders count="3">
    <border>
      <left/>
      <right/>
      <top/>
      <bottom/>
      <diagonal/>
    </border>
    <border>
      <left style="thin">
        <color rgb="FFFFA500"/>
      </left>
      <right style="thin">
        <color rgb="FFFFA500"/>
      </right>
      <top style="thin">
        <color rgb="FFFFA500"/>
      </top>
      <bottom style="thin">
        <color rgb="FFFFA500"/>
      </bottom>
      <diagonal/>
    </border>
    <border>
      <left style="thin">
        <color rgb="FFA9A9A9"/>
      </left>
      <right style="thin">
        <color rgb="FFA9A9A9"/>
      </right>
      <top style="thin">
        <color rgb="FFA9A9A9"/>
      </top>
      <bottom style="thin">
        <color rgb="FFA9A9A9"/>
      </bottom>
      <diagonal/>
    </border>
  </borders>
  <cellStyleXfs count="1">
    <xf numFmtId="0" fontId="0" fillId="0" borderId="0"/>
  </cellStyleXfs>
  <cellXfs count="7">
    <xf numFmtId="0" fontId="0" fillId="0" borderId="0" xfId="0"/>
    <xf numFmtId="0" fontId="1" fillId="0" borderId="0" xfId="0" applyFont="1"/>
    <xf numFmtId="0" fontId="2" fillId="0" borderId="0" xfId="0" applyFont="1"/>
    <xf numFmtId="0" fontId="3" fillId="3" borderId="1" xfId="0" applyFont="1" applyFill="1" applyBorder="1"/>
    <xf numFmtId="0" fontId="1" fillId="2" borderId="2" xfId="0" applyFont="1" applyFill="1" applyBorder="1"/>
    <xf numFmtId="0" fontId="0" fillId="0" borderId="2" xfId="0" applyBorder="1"/>
    <xf numFmtId="0" fontId="0" fillId="0" borderId="1"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E210"/>
  <sheetViews>
    <sheetView tabSelected="1" workbookViewId="0">
      <selection activeCell="D7" activeCellId="1" sqref="D7 D7"/>
    </sheetView>
  </sheetViews>
  <sheetFormatPr baseColWidth="10" defaultColWidth="255" defaultRowHeight="15" x14ac:dyDescent="0.25"/>
  <cols>
    <col min="1" max="1" width="22.7109375" bestFit="1" customWidth="1"/>
    <col min="2" max="3" width="14.140625" customWidth="1"/>
    <col min="4" max="4" width="33.85546875" bestFit="1" customWidth="1"/>
  </cols>
  <sheetData>
    <row r="1" spans="1:5" s="2" customFormat="1" x14ac:dyDescent="0.25">
      <c r="A1" s="4" t="s">
        <v>0</v>
      </c>
      <c r="B1" s="4" t="s">
        <v>1</v>
      </c>
      <c r="C1" s="4" t="s">
        <v>2</v>
      </c>
      <c r="D1" s="4" t="s">
        <v>3</v>
      </c>
    </row>
    <row r="2" spans="1:5" x14ac:dyDescent="0.25">
      <c r="A2" s="5" t="s">
        <v>46</v>
      </c>
      <c r="B2" s="5" t="s">
        <v>47</v>
      </c>
      <c r="C2" s="5" t="s">
        <v>48</v>
      </c>
      <c r="D2" s="5" t="s">
        <v>49</v>
      </c>
      <c r="E2" s="1">
        <f>COUNTA(D2:D1000)</f>
        <v>91</v>
      </c>
    </row>
    <row r="3" spans="1:5" x14ac:dyDescent="0.25">
      <c r="A3" s="5" t="s">
        <v>54</v>
      </c>
      <c r="B3" s="5" t="s">
        <v>55</v>
      </c>
      <c r="C3" s="5" t="s">
        <v>31</v>
      </c>
      <c r="D3" s="5" t="s">
        <v>49</v>
      </c>
      <c r="E3" s="1">
        <f>COUNTIF(D2:D1000,"Localidad")</f>
        <v>0</v>
      </c>
    </row>
    <row r="4" spans="1:5" x14ac:dyDescent="0.25">
      <c r="A4" s="5" t="s">
        <v>50</v>
      </c>
      <c r="B4" s="5" t="s">
        <v>51</v>
      </c>
      <c r="C4" s="5" t="s">
        <v>52</v>
      </c>
      <c r="D4" s="5" t="s">
        <v>53</v>
      </c>
      <c r="E4" s="1">
        <f>COUNTIF(D2:D1000,":: DATOS TELEFONICOS ::")</f>
        <v>0</v>
      </c>
    </row>
    <row r="5" spans="1:5" x14ac:dyDescent="0.25">
      <c r="A5" s="5" t="s">
        <v>242</v>
      </c>
      <c r="B5" s="5" t="s">
        <v>243</v>
      </c>
      <c r="C5" s="5" t="s">
        <v>244</v>
      </c>
      <c r="D5" s="5" t="s">
        <v>245</v>
      </c>
      <c r="E5" s="1">
        <f>COUNTIF(D2:D1000,":: No hay teléfonos con estos datos ::")</f>
        <v>0</v>
      </c>
    </row>
    <row r="6" spans="1:5" x14ac:dyDescent="0.25">
      <c r="A6" s="5" t="s">
        <v>246</v>
      </c>
      <c r="B6" s="5" t="s">
        <v>247</v>
      </c>
      <c r="C6" s="5" t="s">
        <v>248</v>
      </c>
      <c r="D6" s="5" t="s">
        <v>245</v>
      </c>
      <c r="E6" s="1"/>
    </row>
    <row r="7" spans="1:5" x14ac:dyDescent="0.25">
      <c r="A7" s="5" t="s">
        <v>249</v>
      </c>
      <c r="B7" s="5" t="s">
        <v>250</v>
      </c>
      <c r="C7" s="5" t="s">
        <v>251</v>
      </c>
      <c r="D7" s="5" t="s">
        <v>245</v>
      </c>
      <c r="E7" s="1">
        <f>E2-E4-E5-E3</f>
        <v>91</v>
      </c>
    </row>
    <row r="8" spans="1:5" x14ac:dyDescent="0.25">
      <c r="A8" s="5" t="s">
        <v>60</v>
      </c>
      <c r="B8" s="5" t="s">
        <v>61</v>
      </c>
      <c r="C8" s="5" t="s">
        <v>62</v>
      </c>
      <c r="D8" s="5" t="s">
        <v>63</v>
      </c>
      <c r="E8" s="1" t="str">
        <f>IF(E7&lt;=1,"No existen contactos","Numero de contactos :"&amp;E7)</f>
        <v>Numero de contactos :91</v>
      </c>
    </row>
    <row r="9" spans="1:5" x14ac:dyDescent="0.25">
      <c r="A9" s="5" t="s">
        <v>72</v>
      </c>
      <c r="B9" s="5" t="s">
        <v>73</v>
      </c>
      <c r="C9" s="5" t="s">
        <v>74</v>
      </c>
      <c r="D9" s="5" t="s">
        <v>63</v>
      </c>
    </row>
    <row r="10" spans="1:5" x14ac:dyDescent="0.25">
      <c r="A10" s="5" t="s">
        <v>75</v>
      </c>
      <c r="B10" s="5" t="s">
        <v>76</v>
      </c>
      <c r="C10" s="5" t="s">
        <v>77</v>
      </c>
      <c r="D10" s="5" t="s">
        <v>63</v>
      </c>
    </row>
    <row r="11" spans="1:5" x14ac:dyDescent="0.25">
      <c r="A11" s="5" t="s">
        <v>78</v>
      </c>
      <c r="B11" s="5" t="s">
        <v>79</v>
      </c>
      <c r="C11" s="5" t="s">
        <v>80</v>
      </c>
      <c r="D11" s="5" t="s">
        <v>63</v>
      </c>
    </row>
    <row r="12" spans="1:5" x14ac:dyDescent="0.25">
      <c r="A12" s="5" t="s">
        <v>81</v>
      </c>
      <c r="B12" s="5" t="s">
        <v>82</v>
      </c>
      <c r="C12" s="5" t="s">
        <v>83</v>
      </c>
      <c r="D12" s="5" t="s">
        <v>63</v>
      </c>
    </row>
    <row r="13" spans="1:5" x14ac:dyDescent="0.25">
      <c r="A13" s="5" t="s">
        <v>178</v>
      </c>
      <c r="B13" s="5" t="s">
        <v>179</v>
      </c>
      <c r="C13" s="5" t="s">
        <v>180</v>
      </c>
      <c r="D13" s="5" t="s">
        <v>63</v>
      </c>
    </row>
    <row r="14" spans="1:5" x14ac:dyDescent="0.25">
      <c r="A14" s="5" t="s">
        <v>181</v>
      </c>
      <c r="B14" s="5" t="s">
        <v>182</v>
      </c>
      <c r="C14" s="5" t="s">
        <v>183</v>
      </c>
      <c r="D14" s="5" t="s">
        <v>63</v>
      </c>
    </row>
    <row r="15" spans="1:5" x14ac:dyDescent="0.25">
      <c r="A15" s="5" t="s">
        <v>184</v>
      </c>
      <c r="B15" s="5" t="s">
        <v>185</v>
      </c>
      <c r="C15" s="5" t="s">
        <v>186</v>
      </c>
      <c r="D15" s="5" t="s">
        <v>63</v>
      </c>
    </row>
    <row r="16" spans="1:5" x14ac:dyDescent="0.25">
      <c r="A16" s="5" t="s">
        <v>266</v>
      </c>
      <c r="B16" s="5" t="s">
        <v>267</v>
      </c>
      <c r="C16" s="5" t="s">
        <v>268</v>
      </c>
      <c r="D16" s="5" t="s">
        <v>63</v>
      </c>
    </row>
    <row r="17" spans="1:4" x14ac:dyDescent="0.25">
      <c r="A17" s="5" t="s">
        <v>269</v>
      </c>
      <c r="B17" s="5" t="s">
        <v>270</v>
      </c>
      <c r="C17" s="5" t="s">
        <v>271</v>
      </c>
      <c r="D17" s="5" t="s">
        <v>63</v>
      </c>
    </row>
    <row r="18" spans="1:4" x14ac:dyDescent="0.25">
      <c r="A18" s="5" t="s">
        <v>272</v>
      </c>
      <c r="B18" s="5" t="s">
        <v>273</v>
      </c>
      <c r="C18" s="5" t="s">
        <v>274</v>
      </c>
      <c r="D18" s="5" t="s">
        <v>63</v>
      </c>
    </row>
    <row r="19" spans="1:4" x14ac:dyDescent="0.25">
      <c r="A19" s="5" t="s">
        <v>275</v>
      </c>
      <c r="B19" s="5" t="s">
        <v>276</v>
      </c>
      <c r="C19" s="5" t="s">
        <v>277</v>
      </c>
      <c r="D19" s="5" t="s">
        <v>63</v>
      </c>
    </row>
    <row r="20" spans="1:4" x14ac:dyDescent="0.25">
      <c r="A20" s="5" t="s">
        <v>278</v>
      </c>
      <c r="B20" s="5" t="s">
        <v>279</v>
      </c>
      <c r="C20" s="5" t="s">
        <v>280</v>
      </c>
      <c r="D20" s="5" t="s">
        <v>63</v>
      </c>
    </row>
    <row r="21" spans="1:4" x14ac:dyDescent="0.25">
      <c r="A21" s="5" t="s">
        <v>281</v>
      </c>
      <c r="B21" s="5" t="s">
        <v>282</v>
      </c>
      <c r="C21" s="5" t="s">
        <v>283</v>
      </c>
      <c r="D21" s="5" t="s">
        <v>63</v>
      </c>
    </row>
    <row r="22" spans="1:4" x14ac:dyDescent="0.25">
      <c r="A22" s="5" t="s">
        <v>64</v>
      </c>
      <c r="B22" s="5" t="s">
        <v>65</v>
      </c>
      <c r="C22" s="5" t="s">
        <v>66</v>
      </c>
      <c r="D22" s="5" t="s">
        <v>67</v>
      </c>
    </row>
    <row r="23" spans="1:4" x14ac:dyDescent="0.25">
      <c r="A23" s="5" t="s">
        <v>158</v>
      </c>
      <c r="B23" s="5" t="s">
        <v>159</v>
      </c>
      <c r="C23" s="5" t="s">
        <v>160</v>
      </c>
      <c r="D23" s="5" t="s">
        <v>67</v>
      </c>
    </row>
    <row r="24" spans="1:4" x14ac:dyDescent="0.25">
      <c r="A24" s="5" t="s">
        <v>161</v>
      </c>
      <c r="B24" s="5" t="s">
        <v>162</v>
      </c>
      <c r="C24" s="5" t="s">
        <v>163</v>
      </c>
      <c r="D24" s="5" t="s">
        <v>67</v>
      </c>
    </row>
    <row r="25" spans="1:4" x14ac:dyDescent="0.25">
      <c r="A25" s="5" t="s">
        <v>43</v>
      </c>
      <c r="B25" s="5" t="s">
        <v>44</v>
      </c>
      <c r="C25" s="5" t="s">
        <v>31</v>
      </c>
      <c r="D25" s="5" t="s">
        <v>45</v>
      </c>
    </row>
    <row r="26" spans="1:4" x14ac:dyDescent="0.25">
      <c r="A26" s="5" t="s">
        <v>84</v>
      </c>
      <c r="B26" s="5" t="s">
        <v>85</v>
      </c>
      <c r="C26" s="5" t="s">
        <v>86</v>
      </c>
      <c r="D26" s="5" t="s">
        <v>45</v>
      </c>
    </row>
    <row r="27" spans="1:4" x14ac:dyDescent="0.25">
      <c r="A27" s="5" t="s">
        <v>172</v>
      </c>
      <c r="B27" s="5" t="s">
        <v>173</v>
      </c>
      <c r="C27" s="5" t="s">
        <v>174</v>
      </c>
      <c r="D27" s="5" t="s">
        <v>45</v>
      </c>
    </row>
    <row r="28" spans="1:4" x14ac:dyDescent="0.25">
      <c r="A28" s="5" t="s">
        <v>4</v>
      </c>
      <c r="B28" s="5" t="s">
        <v>4</v>
      </c>
      <c r="C28" s="5" t="s">
        <v>4</v>
      </c>
      <c r="D28" s="5" t="s">
        <v>4</v>
      </c>
    </row>
    <row r="29" spans="1:4" x14ac:dyDescent="0.25">
      <c r="A29" s="5" t="s">
        <v>262</v>
      </c>
      <c r="B29" s="5" t="s">
        <v>263</v>
      </c>
      <c r="C29" s="5" t="s">
        <v>264</v>
      </c>
      <c r="D29" s="5" t="s">
        <v>265</v>
      </c>
    </row>
    <row r="30" spans="1:4" x14ac:dyDescent="0.25">
      <c r="A30" s="5" t="s">
        <v>190</v>
      </c>
      <c r="B30" s="5" t="s">
        <v>191</v>
      </c>
      <c r="C30" s="5" t="s">
        <v>192</v>
      </c>
      <c r="D30" s="5" t="s">
        <v>193</v>
      </c>
    </row>
    <row r="31" spans="1:4" x14ac:dyDescent="0.25">
      <c r="A31" s="5" t="s">
        <v>194</v>
      </c>
      <c r="B31" s="5" t="s">
        <v>195</v>
      </c>
      <c r="C31" s="5" t="s">
        <v>196</v>
      </c>
      <c r="D31" s="5" t="s">
        <v>193</v>
      </c>
    </row>
    <row r="32" spans="1:4" x14ac:dyDescent="0.25">
      <c r="A32" s="5" t="s">
        <v>197</v>
      </c>
      <c r="B32" s="5" t="s">
        <v>198</v>
      </c>
      <c r="C32" s="5" t="s">
        <v>199</v>
      </c>
      <c r="D32" s="5" t="s">
        <v>193</v>
      </c>
    </row>
    <row r="33" spans="1:4" x14ac:dyDescent="0.25">
      <c r="A33" s="5" t="s">
        <v>9</v>
      </c>
      <c r="B33" s="5" t="s">
        <v>10</v>
      </c>
      <c r="C33" s="5" t="s">
        <v>11</v>
      </c>
      <c r="D33" s="5" t="s">
        <v>12</v>
      </c>
    </row>
    <row r="34" spans="1:4" x14ac:dyDescent="0.25">
      <c r="A34" s="5" t="s">
        <v>13</v>
      </c>
      <c r="B34" s="5" t="s">
        <v>14</v>
      </c>
      <c r="C34" s="5" t="s">
        <v>15</v>
      </c>
      <c r="D34" s="5" t="s">
        <v>12</v>
      </c>
    </row>
    <row r="35" spans="1:4" x14ac:dyDescent="0.25">
      <c r="A35" s="5" t="s">
        <v>16</v>
      </c>
      <c r="B35" s="5" t="s">
        <v>17</v>
      </c>
      <c r="C35" s="5" t="s">
        <v>15</v>
      </c>
      <c r="D35" s="5" t="s">
        <v>12</v>
      </c>
    </row>
    <row r="36" spans="1:4" x14ac:dyDescent="0.25">
      <c r="A36" s="5" t="s">
        <v>18</v>
      </c>
      <c r="B36" s="5" t="s">
        <v>19</v>
      </c>
      <c r="C36" s="5" t="s">
        <v>20</v>
      </c>
      <c r="D36" s="5" t="s">
        <v>12</v>
      </c>
    </row>
    <row r="37" spans="1:4" x14ac:dyDescent="0.25">
      <c r="A37" s="5" t="s">
        <v>126</v>
      </c>
      <c r="B37" s="5" t="s">
        <v>127</v>
      </c>
      <c r="C37" s="5" t="s">
        <v>128</v>
      </c>
      <c r="D37" s="5" t="s">
        <v>129</v>
      </c>
    </row>
    <row r="38" spans="1:4" x14ac:dyDescent="0.25">
      <c r="A38" s="5" t="s">
        <v>130</v>
      </c>
      <c r="B38" s="5" t="s">
        <v>131</v>
      </c>
      <c r="C38" s="5" t="s">
        <v>132</v>
      </c>
      <c r="D38" s="5" t="s">
        <v>129</v>
      </c>
    </row>
    <row r="39" spans="1:4" x14ac:dyDescent="0.25">
      <c r="A39" s="5" t="s">
        <v>133</v>
      </c>
      <c r="B39" s="5" t="s">
        <v>134</v>
      </c>
      <c r="C39" s="5" t="s">
        <v>135</v>
      </c>
      <c r="D39" s="5" t="s">
        <v>129</v>
      </c>
    </row>
    <row r="40" spans="1:4" x14ac:dyDescent="0.25">
      <c r="A40" s="5" t="s">
        <v>136</v>
      </c>
      <c r="B40" s="5" t="s">
        <v>137</v>
      </c>
      <c r="C40" s="5" t="s">
        <v>138</v>
      </c>
      <c r="D40" s="5" t="s">
        <v>129</v>
      </c>
    </row>
    <row r="41" spans="1:4" x14ac:dyDescent="0.25">
      <c r="A41" s="5" t="s">
        <v>68</v>
      </c>
      <c r="B41" s="5" t="s">
        <v>69</v>
      </c>
      <c r="C41" s="5" t="s">
        <v>70</v>
      </c>
      <c r="D41" s="5" t="s">
        <v>71</v>
      </c>
    </row>
    <row r="42" spans="1:4" x14ac:dyDescent="0.25">
      <c r="A42" s="5" t="s">
        <v>169</v>
      </c>
      <c r="B42" s="5" t="s">
        <v>170</v>
      </c>
      <c r="C42" s="5" t="s">
        <v>171</v>
      </c>
      <c r="D42" s="5" t="s">
        <v>71</v>
      </c>
    </row>
    <row r="43" spans="1:4" x14ac:dyDescent="0.25">
      <c r="A43" s="5" t="s">
        <v>175</v>
      </c>
      <c r="B43" s="5" t="s">
        <v>176</v>
      </c>
      <c r="C43" s="5" t="s">
        <v>177</v>
      </c>
      <c r="D43" s="5" t="s">
        <v>71</v>
      </c>
    </row>
    <row r="44" spans="1:4" x14ac:dyDescent="0.25">
      <c r="A44" s="5" t="s">
        <v>87</v>
      </c>
      <c r="B44" s="5" t="s">
        <v>88</v>
      </c>
      <c r="C44" s="5" t="s">
        <v>89</v>
      </c>
      <c r="D44" s="5" t="s">
        <v>90</v>
      </c>
    </row>
    <row r="45" spans="1:4" x14ac:dyDescent="0.25">
      <c r="A45" s="5" t="s">
        <v>91</v>
      </c>
      <c r="B45" s="5" t="s">
        <v>92</v>
      </c>
      <c r="C45" s="5" t="s">
        <v>93</v>
      </c>
      <c r="D45" s="5" t="s">
        <v>90</v>
      </c>
    </row>
    <row r="46" spans="1:4" x14ac:dyDescent="0.25">
      <c r="A46" s="5" t="s">
        <v>94</v>
      </c>
      <c r="B46" s="5" t="s">
        <v>95</v>
      </c>
      <c r="C46" s="5" t="s">
        <v>96</v>
      </c>
      <c r="D46" s="5" t="s">
        <v>90</v>
      </c>
    </row>
    <row r="47" spans="1:4" x14ac:dyDescent="0.25">
      <c r="A47" s="5" t="s">
        <v>97</v>
      </c>
      <c r="B47" s="5" t="s">
        <v>98</v>
      </c>
      <c r="C47" s="5" t="s">
        <v>99</v>
      </c>
      <c r="D47" s="5" t="s">
        <v>90</v>
      </c>
    </row>
    <row r="48" spans="1:4" x14ac:dyDescent="0.25">
      <c r="A48" s="5" t="s">
        <v>100</v>
      </c>
      <c r="B48" s="5" t="s">
        <v>101</v>
      </c>
      <c r="C48" s="5" t="s">
        <v>102</v>
      </c>
      <c r="D48" s="5" t="s">
        <v>90</v>
      </c>
    </row>
    <row r="49" spans="1:4" x14ac:dyDescent="0.25">
      <c r="A49" s="5" t="s">
        <v>103</v>
      </c>
      <c r="B49" s="5" t="s">
        <v>104</v>
      </c>
      <c r="C49" s="5" t="s">
        <v>105</v>
      </c>
      <c r="D49" s="5" t="s">
        <v>90</v>
      </c>
    </row>
    <row r="50" spans="1:4" x14ac:dyDescent="0.25">
      <c r="A50" s="5" t="s">
        <v>106</v>
      </c>
      <c r="B50" s="5" t="s">
        <v>107</v>
      </c>
      <c r="C50" s="5" t="s">
        <v>108</v>
      </c>
      <c r="D50" s="5" t="s">
        <v>90</v>
      </c>
    </row>
    <row r="51" spans="1:4" x14ac:dyDescent="0.25">
      <c r="A51" s="5" t="s">
        <v>206</v>
      </c>
      <c r="B51" s="5" t="s">
        <v>207</v>
      </c>
      <c r="C51" s="5" t="s">
        <v>208</v>
      </c>
      <c r="D51" s="5" t="s">
        <v>90</v>
      </c>
    </row>
    <row r="52" spans="1:4" x14ac:dyDescent="0.25">
      <c r="A52" s="5" t="s">
        <v>209</v>
      </c>
      <c r="B52" s="5" t="s">
        <v>210</v>
      </c>
      <c r="C52" s="5" t="s">
        <v>211</v>
      </c>
      <c r="D52" s="5" t="s">
        <v>90</v>
      </c>
    </row>
    <row r="53" spans="1:4" x14ac:dyDescent="0.25">
      <c r="A53" s="5" t="s">
        <v>212</v>
      </c>
      <c r="B53" s="5" t="s">
        <v>213</v>
      </c>
      <c r="C53" s="5" t="s">
        <v>214</v>
      </c>
      <c r="D53" s="5" t="s">
        <v>90</v>
      </c>
    </row>
    <row r="54" spans="1:4" x14ac:dyDescent="0.25">
      <c r="A54" s="5" t="s">
        <v>215</v>
      </c>
      <c r="B54" s="5" t="s">
        <v>216</v>
      </c>
      <c r="C54" s="5" t="s">
        <v>217</v>
      </c>
      <c r="D54" s="5" t="s">
        <v>90</v>
      </c>
    </row>
    <row r="55" spans="1:4" x14ac:dyDescent="0.25">
      <c r="A55" s="5" t="s">
        <v>218</v>
      </c>
      <c r="B55" s="5" t="s">
        <v>219</v>
      </c>
      <c r="C55" s="5" t="s">
        <v>220</v>
      </c>
      <c r="D55" s="5" t="s">
        <v>90</v>
      </c>
    </row>
    <row r="56" spans="1:4" x14ac:dyDescent="0.25">
      <c r="A56" s="5" t="s">
        <v>221</v>
      </c>
      <c r="B56" s="5" t="s">
        <v>222</v>
      </c>
      <c r="C56" s="5" t="s">
        <v>223</v>
      </c>
      <c r="D56" s="5" t="s">
        <v>90</v>
      </c>
    </row>
    <row r="57" spans="1:4" x14ac:dyDescent="0.25">
      <c r="A57" s="5" t="s">
        <v>224</v>
      </c>
      <c r="B57" s="5" t="s">
        <v>225</v>
      </c>
      <c r="C57" s="5" t="s">
        <v>226</v>
      </c>
      <c r="D57" s="5" t="s">
        <v>90</v>
      </c>
    </row>
    <row r="58" spans="1:4" x14ac:dyDescent="0.25">
      <c r="A58" s="5" t="s">
        <v>227</v>
      </c>
      <c r="B58" s="5" t="s">
        <v>228</v>
      </c>
      <c r="C58" s="5" t="s">
        <v>229</v>
      </c>
      <c r="D58" s="5" t="s">
        <v>90</v>
      </c>
    </row>
    <row r="59" spans="1:4" x14ac:dyDescent="0.25">
      <c r="A59" s="5" t="s">
        <v>230</v>
      </c>
      <c r="B59" s="5" t="s">
        <v>231</v>
      </c>
      <c r="C59" s="5" t="s">
        <v>232</v>
      </c>
      <c r="D59" s="5" t="s">
        <v>90</v>
      </c>
    </row>
    <row r="60" spans="1:4" x14ac:dyDescent="0.25">
      <c r="A60" s="5" t="s">
        <v>233</v>
      </c>
      <c r="B60" s="5" t="s">
        <v>234</v>
      </c>
      <c r="C60" s="5" t="s">
        <v>235</v>
      </c>
      <c r="D60" s="5" t="s">
        <v>90</v>
      </c>
    </row>
    <row r="61" spans="1:4" x14ac:dyDescent="0.25">
      <c r="A61" s="5" t="s">
        <v>236</v>
      </c>
      <c r="B61" s="5" t="s">
        <v>237</v>
      </c>
      <c r="C61" s="5" t="s">
        <v>238</v>
      </c>
      <c r="D61" s="5" t="s">
        <v>90</v>
      </c>
    </row>
    <row r="62" spans="1:4" x14ac:dyDescent="0.25">
      <c r="A62" s="5" t="s">
        <v>239</v>
      </c>
      <c r="B62" s="5" t="s">
        <v>240</v>
      </c>
      <c r="C62" s="5" t="s">
        <v>241</v>
      </c>
      <c r="D62" s="5" t="s">
        <v>90</v>
      </c>
    </row>
    <row r="63" spans="1:4" x14ac:dyDescent="0.25">
      <c r="A63" s="5" t="s">
        <v>259</v>
      </c>
      <c r="B63" s="5" t="s">
        <v>260</v>
      </c>
      <c r="C63" s="5" t="s">
        <v>261</v>
      </c>
      <c r="D63" s="5" t="s">
        <v>90</v>
      </c>
    </row>
    <row r="64" spans="1:4" x14ac:dyDescent="0.25">
      <c r="A64" s="5" t="s">
        <v>252</v>
      </c>
      <c r="B64" s="5" t="s">
        <v>253</v>
      </c>
      <c r="C64" s="5" t="s">
        <v>254</v>
      </c>
      <c r="D64" s="5" t="s">
        <v>255</v>
      </c>
    </row>
    <row r="65" spans="1:4" x14ac:dyDescent="0.25">
      <c r="A65" s="5" t="s">
        <v>256</v>
      </c>
      <c r="B65" s="5" t="s">
        <v>257</v>
      </c>
      <c r="C65" s="5" t="s">
        <v>258</v>
      </c>
      <c r="D65" s="5" t="s">
        <v>255</v>
      </c>
    </row>
    <row r="66" spans="1:4" x14ac:dyDescent="0.25">
      <c r="A66" s="5" t="s">
        <v>5</v>
      </c>
      <c r="B66" s="5" t="s">
        <v>6</v>
      </c>
      <c r="C66" s="5" t="s">
        <v>7</v>
      </c>
      <c r="D66" s="5" t="s">
        <v>8</v>
      </c>
    </row>
    <row r="67" spans="1:4" x14ac:dyDescent="0.25">
      <c r="A67" s="5" t="s">
        <v>21</v>
      </c>
      <c r="B67" s="5" t="s">
        <v>22</v>
      </c>
      <c r="C67" s="5" t="s">
        <v>23</v>
      </c>
      <c r="D67" s="5" t="s">
        <v>8</v>
      </c>
    </row>
    <row r="68" spans="1:4" x14ac:dyDescent="0.25">
      <c r="A68" s="5" t="s">
        <v>24</v>
      </c>
      <c r="B68" s="5" t="s">
        <v>25</v>
      </c>
      <c r="C68" s="5" t="s">
        <v>26</v>
      </c>
      <c r="D68" s="5" t="s">
        <v>8</v>
      </c>
    </row>
    <row r="69" spans="1:4" x14ac:dyDescent="0.25">
      <c r="A69" s="5" t="s">
        <v>27</v>
      </c>
      <c r="B69" s="5" t="s">
        <v>28</v>
      </c>
      <c r="C69" s="5" t="s">
        <v>26</v>
      </c>
      <c r="D69" s="5" t="s">
        <v>8</v>
      </c>
    </row>
    <row r="70" spans="1:4" x14ac:dyDescent="0.25">
      <c r="A70" s="5" t="s">
        <v>29</v>
      </c>
      <c r="B70" s="5" t="s">
        <v>30</v>
      </c>
      <c r="C70" s="5" t="s">
        <v>31</v>
      </c>
      <c r="D70" s="5" t="s">
        <v>8</v>
      </c>
    </row>
    <row r="71" spans="1:4" x14ac:dyDescent="0.25">
      <c r="A71" s="5" t="s">
        <v>32</v>
      </c>
      <c r="B71" s="5" t="s">
        <v>33</v>
      </c>
      <c r="C71" s="5" t="s">
        <v>34</v>
      </c>
      <c r="D71" s="5" t="s">
        <v>8</v>
      </c>
    </row>
    <row r="72" spans="1:4" x14ac:dyDescent="0.25">
      <c r="A72" s="5" t="s">
        <v>35</v>
      </c>
      <c r="B72" s="5" t="s">
        <v>36</v>
      </c>
      <c r="C72" s="5" t="s">
        <v>37</v>
      </c>
      <c r="D72" s="5" t="s">
        <v>8</v>
      </c>
    </row>
    <row r="73" spans="1:4" x14ac:dyDescent="0.25">
      <c r="A73" s="5" t="s">
        <v>38</v>
      </c>
      <c r="B73" s="5" t="s">
        <v>39</v>
      </c>
      <c r="C73" s="5" t="s">
        <v>40</v>
      </c>
      <c r="D73" s="5" t="s">
        <v>8</v>
      </c>
    </row>
    <row r="74" spans="1:4" x14ac:dyDescent="0.25">
      <c r="A74" s="5" t="s">
        <v>41</v>
      </c>
      <c r="B74" s="5" t="s">
        <v>42</v>
      </c>
      <c r="C74" s="5" t="s">
        <v>40</v>
      </c>
      <c r="D74" s="5" t="s">
        <v>8</v>
      </c>
    </row>
    <row r="75" spans="1:4" x14ac:dyDescent="0.25">
      <c r="A75" s="5" t="s">
        <v>139</v>
      </c>
      <c r="B75" s="5" t="s">
        <v>140</v>
      </c>
      <c r="C75" s="5" t="s">
        <v>141</v>
      </c>
      <c r="D75" s="5" t="s">
        <v>8</v>
      </c>
    </row>
    <row r="76" spans="1:4" x14ac:dyDescent="0.25">
      <c r="A76" s="5" t="s">
        <v>142</v>
      </c>
      <c r="B76" s="5" t="s">
        <v>143</v>
      </c>
      <c r="C76" s="5" t="s">
        <v>144</v>
      </c>
      <c r="D76" s="5" t="s">
        <v>8</v>
      </c>
    </row>
    <row r="77" spans="1:4" x14ac:dyDescent="0.25">
      <c r="A77" s="5" t="s">
        <v>145</v>
      </c>
      <c r="B77" s="5" t="s">
        <v>30</v>
      </c>
      <c r="C77" s="5" t="s">
        <v>146</v>
      </c>
      <c r="D77" s="5" t="s">
        <v>8</v>
      </c>
    </row>
    <row r="78" spans="1:4" x14ac:dyDescent="0.25">
      <c r="A78" s="5" t="s">
        <v>147</v>
      </c>
      <c r="B78" s="5" t="s">
        <v>148</v>
      </c>
      <c r="C78" s="5" t="s">
        <v>149</v>
      </c>
      <c r="D78" s="5" t="s">
        <v>8</v>
      </c>
    </row>
    <row r="79" spans="1:4" x14ac:dyDescent="0.25">
      <c r="A79" s="5" t="s">
        <v>150</v>
      </c>
      <c r="B79" s="5" t="s">
        <v>151</v>
      </c>
      <c r="C79" s="5" t="s">
        <v>152</v>
      </c>
      <c r="D79" s="5" t="s">
        <v>8</v>
      </c>
    </row>
    <row r="80" spans="1:4" x14ac:dyDescent="0.25">
      <c r="A80" s="5" t="s">
        <v>153</v>
      </c>
      <c r="B80" s="5" t="s">
        <v>154</v>
      </c>
      <c r="C80" s="5" t="s">
        <v>155</v>
      </c>
      <c r="D80" s="5" t="s">
        <v>8</v>
      </c>
    </row>
    <row r="81" spans="1:4" x14ac:dyDescent="0.25">
      <c r="A81" s="5" t="s">
        <v>156</v>
      </c>
      <c r="B81" s="5" t="s">
        <v>143</v>
      </c>
      <c r="C81" s="5" t="s">
        <v>157</v>
      </c>
      <c r="D81" s="5" t="s">
        <v>8</v>
      </c>
    </row>
    <row r="82" spans="1:4" x14ac:dyDescent="0.25">
      <c r="A82" s="5" t="s">
        <v>187</v>
      </c>
      <c r="B82" s="5" t="s">
        <v>188</v>
      </c>
      <c r="C82" s="5" t="s">
        <v>189</v>
      </c>
      <c r="D82" s="5" t="s">
        <v>8</v>
      </c>
    </row>
    <row r="83" spans="1:4" x14ac:dyDescent="0.25">
      <c r="A83" s="5" t="s">
        <v>109</v>
      </c>
      <c r="B83" s="5" t="s">
        <v>110</v>
      </c>
      <c r="C83" s="5" t="s">
        <v>111</v>
      </c>
      <c r="D83" s="5" t="s">
        <v>112</v>
      </c>
    </row>
    <row r="84" spans="1:4" x14ac:dyDescent="0.25">
      <c r="A84" s="5" t="s">
        <v>113</v>
      </c>
      <c r="B84" s="5" t="s">
        <v>114</v>
      </c>
      <c r="C84" s="5" t="s">
        <v>115</v>
      </c>
      <c r="D84" s="5" t="s">
        <v>116</v>
      </c>
    </row>
    <row r="85" spans="1:4" x14ac:dyDescent="0.25">
      <c r="A85" s="5" t="s">
        <v>117</v>
      </c>
      <c r="B85" s="5" t="s">
        <v>118</v>
      </c>
      <c r="C85" s="5" t="s">
        <v>119</v>
      </c>
      <c r="D85" s="5" t="s">
        <v>116</v>
      </c>
    </row>
    <row r="86" spans="1:4" x14ac:dyDescent="0.25">
      <c r="A86" s="5" t="s">
        <v>120</v>
      </c>
      <c r="B86" s="5" t="s">
        <v>121</v>
      </c>
      <c r="C86" s="5" t="s">
        <v>122</v>
      </c>
      <c r="D86" s="5" t="s">
        <v>116</v>
      </c>
    </row>
    <row r="87" spans="1:4" x14ac:dyDescent="0.25">
      <c r="A87" s="5" t="s">
        <v>123</v>
      </c>
      <c r="B87" s="5" t="s">
        <v>124</v>
      </c>
      <c r="C87" s="5" t="s">
        <v>125</v>
      </c>
      <c r="D87" s="5" t="s">
        <v>116</v>
      </c>
    </row>
    <row r="88" spans="1:4" x14ac:dyDescent="0.25">
      <c r="A88" s="5" t="s">
        <v>200</v>
      </c>
      <c r="B88" s="5" t="s">
        <v>201</v>
      </c>
      <c r="C88" s="5" t="s">
        <v>202</v>
      </c>
      <c r="D88" s="5" t="s">
        <v>116</v>
      </c>
    </row>
    <row r="89" spans="1:4" x14ac:dyDescent="0.25">
      <c r="A89" s="5" t="s">
        <v>203</v>
      </c>
      <c r="B89" s="5" t="s">
        <v>204</v>
      </c>
      <c r="C89" s="5" t="s">
        <v>205</v>
      </c>
      <c r="D89" s="5" t="s">
        <v>116</v>
      </c>
    </row>
    <row r="90" spans="1:4" x14ac:dyDescent="0.25">
      <c r="A90" s="5" t="s">
        <v>56</v>
      </c>
      <c r="B90" s="5" t="s">
        <v>57</v>
      </c>
      <c r="C90" s="5" t="s">
        <v>58</v>
      </c>
      <c r="D90" s="5" t="s">
        <v>59</v>
      </c>
    </row>
    <row r="91" spans="1:4" x14ac:dyDescent="0.25">
      <c r="A91" s="5" t="s">
        <v>164</v>
      </c>
      <c r="B91" s="5" t="s">
        <v>165</v>
      </c>
      <c r="C91" s="5" t="s">
        <v>166</v>
      </c>
      <c r="D91" s="5" t="s">
        <v>59</v>
      </c>
    </row>
    <row r="92" spans="1:4" x14ac:dyDescent="0.25">
      <c r="A92" s="5" t="s">
        <v>167</v>
      </c>
      <c r="B92" s="5" t="s">
        <v>168</v>
      </c>
      <c r="C92" s="5" t="s">
        <v>166</v>
      </c>
      <c r="D92" s="5" t="s">
        <v>59</v>
      </c>
    </row>
    <row r="93" spans="1:4" x14ac:dyDescent="0.25">
      <c r="A93" s="5"/>
      <c r="B93" s="5"/>
      <c r="C93" s="5"/>
      <c r="D93" s="5"/>
    </row>
    <row r="94" spans="1:4" x14ac:dyDescent="0.25">
      <c r="A94" s="5"/>
      <c r="B94" s="5"/>
      <c r="C94" s="5"/>
      <c r="D94" s="5"/>
    </row>
    <row r="95" spans="1:4" x14ac:dyDescent="0.25">
      <c r="A95" s="5"/>
      <c r="B95" s="5"/>
      <c r="C95" s="5"/>
      <c r="D95" s="5"/>
    </row>
    <row r="96" spans="1:4" x14ac:dyDescent="0.25">
      <c r="A96" s="5"/>
      <c r="B96" s="5"/>
      <c r="C96" s="5"/>
      <c r="D96" s="5"/>
    </row>
    <row r="97" spans="1:4" x14ac:dyDescent="0.25">
      <c r="A97" s="5"/>
      <c r="B97" s="5"/>
      <c r="C97" s="5"/>
      <c r="D97" s="5"/>
    </row>
    <row r="98" spans="1:4" x14ac:dyDescent="0.25">
      <c r="A98" s="5"/>
      <c r="B98" s="5"/>
      <c r="C98" s="5"/>
      <c r="D98" s="5"/>
    </row>
    <row r="99" spans="1:4" x14ac:dyDescent="0.25">
      <c r="A99" s="5"/>
      <c r="B99" s="5"/>
      <c r="C99" s="5"/>
      <c r="D99" s="5"/>
    </row>
    <row r="100" spans="1:4" x14ac:dyDescent="0.25">
      <c r="A100" s="5"/>
      <c r="B100" s="5"/>
      <c r="C100" s="5"/>
      <c r="D100" s="5"/>
    </row>
    <row r="101" spans="1:4" x14ac:dyDescent="0.25">
      <c r="A101" s="5"/>
      <c r="B101" s="5"/>
      <c r="C101" s="5"/>
      <c r="D101" s="5"/>
    </row>
    <row r="102" spans="1:4" x14ac:dyDescent="0.25">
      <c r="A102" s="5"/>
      <c r="B102" s="5"/>
      <c r="C102" s="5"/>
      <c r="D102" s="5"/>
    </row>
    <row r="103" spans="1:4" x14ac:dyDescent="0.25">
      <c r="A103" s="5"/>
      <c r="B103" s="5"/>
      <c r="C103" s="5"/>
      <c r="D103" s="5"/>
    </row>
    <row r="104" spans="1:4" x14ac:dyDescent="0.25">
      <c r="A104" s="5"/>
      <c r="B104" s="5"/>
      <c r="C104" s="5"/>
      <c r="D104" s="5"/>
    </row>
    <row r="105" spans="1:4" x14ac:dyDescent="0.25">
      <c r="A105" s="5"/>
      <c r="B105" s="5"/>
      <c r="C105" s="5"/>
      <c r="D105" s="5"/>
    </row>
    <row r="106" spans="1:4" x14ac:dyDescent="0.25">
      <c r="A106" s="5"/>
      <c r="B106" s="5"/>
      <c r="C106" s="5"/>
      <c r="D106" s="5"/>
    </row>
    <row r="107" spans="1:4" x14ac:dyDescent="0.25">
      <c r="A107" s="5"/>
      <c r="B107" s="5"/>
      <c r="C107" s="5"/>
      <c r="D107" s="5"/>
    </row>
    <row r="108" spans="1:4" x14ac:dyDescent="0.25">
      <c r="A108" s="5"/>
      <c r="B108" s="5"/>
      <c r="C108" s="5"/>
      <c r="D108" s="5"/>
    </row>
    <row r="109" spans="1:4" x14ac:dyDescent="0.25">
      <c r="A109" s="5"/>
      <c r="B109" s="5"/>
      <c r="C109" s="5"/>
      <c r="D109" s="5"/>
    </row>
    <row r="110" spans="1:4" x14ac:dyDescent="0.25">
      <c r="A110" s="5"/>
      <c r="B110" s="5"/>
      <c r="C110" s="5"/>
      <c r="D110" s="5"/>
    </row>
    <row r="111" spans="1:4" x14ac:dyDescent="0.25">
      <c r="A111" s="5"/>
      <c r="B111" s="5"/>
      <c r="C111" s="5"/>
      <c r="D111" s="5"/>
    </row>
    <row r="112" spans="1:4" x14ac:dyDescent="0.25">
      <c r="A112" s="5"/>
      <c r="B112" s="5"/>
      <c r="C112" s="5"/>
      <c r="D112" s="5"/>
    </row>
    <row r="113" spans="1:4" x14ac:dyDescent="0.25">
      <c r="A113" s="5"/>
      <c r="B113" s="5"/>
      <c r="C113" s="5"/>
      <c r="D113" s="5"/>
    </row>
    <row r="114" spans="1:4" x14ac:dyDescent="0.25">
      <c r="A114" s="5"/>
      <c r="B114" s="5"/>
      <c r="C114" s="5"/>
      <c r="D114" s="5"/>
    </row>
    <row r="115" spans="1:4" x14ac:dyDescent="0.25">
      <c r="A115" s="5"/>
      <c r="B115" s="5"/>
      <c r="C115" s="5"/>
      <c r="D115" s="5"/>
    </row>
    <row r="116" spans="1:4" x14ac:dyDescent="0.25">
      <c r="A116" s="5"/>
      <c r="B116" s="5"/>
      <c r="C116" s="5"/>
      <c r="D116" s="5"/>
    </row>
    <row r="117" spans="1:4" x14ac:dyDescent="0.25">
      <c r="A117" s="5"/>
      <c r="B117" s="5"/>
      <c r="C117" s="5"/>
      <c r="D117" s="5"/>
    </row>
    <row r="118" spans="1:4" x14ac:dyDescent="0.25">
      <c r="A118" s="5"/>
      <c r="B118" s="5"/>
      <c r="C118" s="5"/>
      <c r="D118" s="5"/>
    </row>
    <row r="119" spans="1:4" x14ac:dyDescent="0.25">
      <c r="A119" s="5"/>
      <c r="B119" s="5"/>
      <c r="C119" s="5"/>
      <c r="D119" s="5"/>
    </row>
    <row r="120" spans="1:4" x14ac:dyDescent="0.25">
      <c r="A120" s="5"/>
      <c r="B120" s="5"/>
      <c r="C120" s="5"/>
      <c r="D120" s="5"/>
    </row>
    <row r="121" spans="1:4" x14ac:dyDescent="0.25">
      <c r="A121" s="5"/>
      <c r="B121" s="5"/>
      <c r="C121" s="5"/>
      <c r="D121" s="5"/>
    </row>
    <row r="122" spans="1:4" x14ac:dyDescent="0.25">
      <c r="A122" s="5"/>
      <c r="B122" s="5"/>
      <c r="C122" s="5"/>
      <c r="D122" s="5"/>
    </row>
    <row r="123" spans="1:4" x14ac:dyDescent="0.25">
      <c r="A123" s="5"/>
      <c r="B123" s="5"/>
      <c r="C123" s="5"/>
      <c r="D123" s="5"/>
    </row>
    <row r="124" spans="1:4" x14ac:dyDescent="0.25">
      <c r="A124" s="5"/>
      <c r="B124" s="5"/>
      <c r="C124" s="5"/>
      <c r="D124" s="5"/>
    </row>
    <row r="125" spans="1:4" x14ac:dyDescent="0.25">
      <c r="A125" s="5"/>
      <c r="B125" s="5"/>
      <c r="C125" s="5"/>
      <c r="D125" s="5"/>
    </row>
    <row r="126" spans="1:4" x14ac:dyDescent="0.25">
      <c r="A126" s="5"/>
      <c r="B126" s="5"/>
      <c r="C126" s="5"/>
      <c r="D126" s="5"/>
    </row>
    <row r="127" spans="1:4" x14ac:dyDescent="0.25">
      <c r="A127" s="5"/>
      <c r="B127" s="5"/>
      <c r="C127" s="5"/>
      <c r="D127" s="5"/>
    </row>
    <row r="128" spans="1:4" x14ac:dyDescent="0.25">
      <c r="A128" s="5"/>
      <c r="B128" s="5"/>
      <c r="C128" s="5"/>
      <c r="D128" s="5"/>
    </row>
    <row r="129" spans="1:4" x14ac:dyDescent="0.25">
      <c r="A129" s="5"/>
      <c r="B129" s="5"/>
      <c r="C129" s="5"/>
      <c r="D129" s="5"/>
    </row>
    <row r="130" spans="1:4" x14ac:dyDescent="0.25">
      <c r="A130" s="5"/>
      <c r="B130" s="5"/>
      <c r="C130" s="5"/>
      <c r="D130" s="5"/>
    </row>
    <row r="131" spans="1:4" x14ac:dyDescent="0.25">
      <c r="A131" s="5"/>
      <c r="B131" s="5"/>
      <c r="C131" s="5"/>
      <c r="D131" s="5"/>
    </row>
    <row r="132" spans="1:4" x14ac:dyDescent="0.25">
      <c r="A132" s="5"/>
      <c r="B132" s="5"/>
      <c r="C132" s="5"/>
      <c r="D132" s="5"/>
    </row>
    <row r="133" spans="1:4" x14ac:dyDescent="0.25">
      <c r="A133" s="5"/>
      <c r="B133" s="5"/>
      <c r="C133" s="5"/>
      <c r="D133" s="5"/>
    </row>
    <row r="134" spans="1:4" x14ac:dyDescent="0.25">
      <c r="A134" s="5"/>
      <c r="B134" s="5"/>
      <c r="C134" s="5"/>
      <c r="D134" s="5"/>
    </row>
    <row r="135" spans="1:4" x14ac:dyDescent="0.25">
      <c r="A135" s="5"/>
      <c r="B135" s="5"/>
      <c r="C135" s="5"/>
      <c r="D135" s="5"/>
    </row>
    <row r="136" spans="1:4" x14ac:dyDescent="0.25">
      <c r="A136" s="5"/>
      <c r="B136" s="5"/>
      <c r="C136" s="5"/>
      <c r="D136" s="5"/>
    </row>
    <row r="137" spans="1:4" x14ac:dyDescent="0.25">
      <c r="A137" s="5"/>
      <c r="B137" s="5"/>
      <c r="C137" s="5"/>
      <c r="D137" s="5"/>
    </row>
    <row r="138" spans="1:4" x14ac:dyDescent="0.25">
      <c r="A138" s="5"/>
      <c r="B138" s="5"/>
      <c r="C138" s="5"/>
      <c r="D138" s="5"/>
    </row>
    <row r="139" spans="1:4" x14ac:dyDescent="0.25">
      <c r="A139" s="5"/>
      <c r="B139" s="5"/>
      <c r="C139" s="5"/>
      <c r="D139" s="5"/>
    </row>
    <row r="140" spans="1:4" x14ac:dyDescent="0.25">
      <c r="A140" s="5"/>
      <c r="B140" s="5"/>
      <c r="C140" s="5"/>
      <c r="D140" s="5"/>
    </row>
    <row r="141" spans="1:4" x14ac:dyDescent="0.25">
      <c r="A141" s="5"/>
      <c r="B141" s="5"/>
      <c r="C141" s="5"/>
      <c r="D141" s="5"/>
    </row>
    <row r="142" spans="1:4" x14ac:dyDescent="0.25">
      <c r="A142" s="5"/>
      <c r="B142" s="5"/>
      <c r="C142" s="5"/>
      <c r="D142" s="5"/>
    </row>
    <row r="143" spans="1:4" x14ac:dyDescent="0.25">
      <c r="A143" s="5"/>
      <c r="B143" s="5"/>
      <c r="C143" s="5"/>
      <c r="D143" s="5"/>
    </row>
    <row r="144" spans="1:4" x14ac:dyDescent="0.25">
      <c r="A144" s="5"/>
      <c r="B144" s="5"/>
      <c r="C144" s="5"/>
      <c r="D144" s="5"/>
    </row>
    <row r="145" spans="1:4" x14ac:dyDescent="0.25">
      <c r="A145" s="5"/>
      <c r="B145" s="5"/>
      <c r="C145" s="5"/>
      <c r="D145" s="5"/>
    </row>
    <row r="146" spans="1:4" x14ac:dyDescent="0.25">
      <c r="A146" s="5"/>
      <c r="B146" s="5"/>
      <c r="C146" s="5"/>
      <c r="D146" s="5"/>
    </row>
    <row r="147" spans="1:4" x14ac:dyDescent="0.25">
      <c r="A147" s="5"/>
      <c r="B147" s="5"/>
      <c r="C147" s="5"/>
      <c r="D147" s="5"/>
    </row>
    <row r="148" spans="1:4" x14ac:dyDescent="0.25">
      <c r="A148" s="5"/>
      <c r="B148" s="5"/>
      <c r="C148" s="5"/>
      <c r="D148" s="5"/>
    </row>
    <row r="149" spans="1:4" x14ac:dyDescent="0.25">
      <c r="A149" s="5"/>
      <c r="B149" s="5"/>
      <c r="C149" s="5"/>
      <c r="D149" s="5"/>
    </row>
    <row r="150" spans="1:4" x14ac:dyDescent="0.25">
      <c r="A150" s="5"/>
      <c r="B150" s="5"/>
      <c r="C150" s="5"/>
      <c r="D150" s="5"/>
    </row>
    <row r="151" spans="1:4" x14ac:dyDescent="0.25">
      <c r="A151" s="5"/>
      <c r="B151" s="5"/>
      <c r="C151" s="5"/>
      <c r="D151" s="5"/>
    </row>
    <row r="152" spans="1:4" x14ac:dyDescent="0.25">
      <c r="A152" s="5"/>
      <c r="B152" s="5"/>
      <c r="C152" s="5"/>
      <c r="D152" s="5"/>
    </row>
    <row r="153" spans="1:4" x14ac:dyDescent="0.25">
      <c r="A153" s="5"/>
      <c r="B153" s="5"/>
      <c r="C153" s="5"/>
      <c r="D153" s="5"/>
    </row>
    <row r="154" spans="1:4" x14ac:dyDescent="0.25">
      <c r="A154" s="5"/>
      <c r="B154" s="5"/>
      <c r="C154" s="5"/>
      <c r="D154" s="5"/>
    </row>
    <row r="155" spans="1:4" x14ac:dyDescent="0.25">
      <c r="A155" s="5"/>
      <c r="B155" s="5"/>
      <c r="C155" s="5"/>
      <c r="D155" s="5"/>
    </row>
    <row r="156" spans="1:4" x14ac:dyDescent="0.25">
      <c r="A156" s="5"/>
      <c r="B156" s="5"/>
      <c r="C156" s="5"/>
      <c r="D156" s="5"/>
    </row>
    <row r="157" spans="1:4" x14ac:dyDescent="0.25">
      <c r="A157" s="5"/>
      <c r="B157" s="5"/>
      <c r="C157" s="5"/>
      <c r="D157" s="5"/>
    </row>
    <row r="158" spans="1:4" x14ac:dyDescent="0.25">
      <c r="A158" s="5"/>
      <c r="B158" s="5"/>
      <c r="C158" s="5"/>
      <c r="D158" s="5"/>
    </row>
    <row r="159" spans="1:4" x14ac:dyDescent="0.25">
      <c r="A159" s="5"/>
      <c r="B159" s="5"/>
      <c r="C159" s="5"/>
      <c r="D159" s="5"/>
    </row>
    <row r="160" spans="1:4" x14ac:dyDescent="0.25">
      <c r="A160" s="5"/>
      <c r="B160" s="5"/>
      <c r="C160" s="5"/>
      <c r="D160" s="5"/>
    </row>
    <row r="161" spans="1:4" x14ac:dyDescent="0.25">
      <c r="A161" s="5"/>
      <c r="B161" s="5"/>
      <c r="C161" s="5"/>
      <c r="D161" s="5"/>
    </row>
    <row r="162" spans="1:4" x14ac:dyDescent="0.25">
      <c r="A162" s="5"/>
      <c r="B162" s="5"/>
      <c r="C162" s="5"/>
      <c r="D162" s="5"/>
    </row>
    <row r="163" spans="1:4" x14ac:dyDescent="0.25">
      <c r="A163" s="5"/>
      <c r="B163" s="5"/>
      <c r="C163" s="5"/>
      <c r="D163" s="5"/>
    </row>
    <row r="164" spans="1:4" x14ac:dyDescent="0.25">
      <c r="A164" s="5"/>
      <c r="B164" s="5"/>
      <c r="C164" s="5"/>
      <c r="D164" s="5"/>
    </row>
    <row r="165" spans="1:4" x14ac:dyDescent="0.25">
      <c r="A165" s="5"/>
      <c r="B165" s="5"/>
      <c r="C165" s="5"/>
      <c r="D165" s="5"/>
    </row>
    <row r="166" spans="1:4" x14ac:dyDescent="0.25">
      <c r="A166" s="5"/>
      <c r="B166" s="5"/>
      <c r="C166" s="5"/>
      <c r="D166" s="5"/>
    </row>
    <row r="167" spans="1:4" x14ac:dyDescent="0.25">
      <c r="A167" s="5"/>
      <c r="B167" s="5"/>
      <c r="C167" s="5"/>
      <c r="D167" s="5"/>
    </row>
    <row r="168" spans="1:4" x14ac:dyDescent="0.25">
      <c r="A168" s="5"/>
      <c r="B168" s="5"/>
      <c r="C168" s="5"/>
      <c r="D168" s="5"/>
    </row>
    <row r="169" spans="1:4" x14ac:dyDescent="0.25">
      <c r="A169" s="5"/>
      <c r="B169" s="5"/>
      <c r="C169" s="5"/>
      <c r="D169" s="5"/>
    </row>
    <row r="170" spans="1:4" x14ac:dyDescent="0.25">
      <c r="A170" s="5"/>
      <c r="B170" s="5"/>
      <c r="C170" s="5"/>
      <c r="D170" s="5"/>
    </row>
    <row r="171" spans="1:4" x14ac:dyDescent="0.25">
      <c r="A171" s="5"/>
      <c r="B171" s="5"/>
      <c r="C171" s="5"/>
      <c r="D171" s="5"/>
    </row>
    <row r="172" spans="1:4" x14ac:dyDescent="0.25">
      <c r="A172" s="5"/>
      <c r="B172" s="5"/>
      <c r="C172" s="5"/>
      <c r="D172" s="5"/>
    </row>
    <row r="173" spans="1:4" x14ac:dyDescent="0.25">
      <c r="A173" s="5"/>
      <c r="B173" s="5"/>
      <c r="C173" s="5"/>
      <c r="D173" s="5"/>
    </row>
    <row r="174" spans="1:4" x14ac:dyDescent="0.25">
      <c r="A174" s="5"/>
      <c r="B174" s="5"/>
      <c r="C174" s="5"/>
      <c r="D174" s="5"/>
    </row>
    <row r="175" spans="1:4" x14ac:dyDescent="0.25">
      <c r="A175" s="5"/>
      <c r="B175" s="5"/>
      <c r="C175" s="5"/>
      <c r="D175" s="5"/>
    </row>
    <row r="176" spans="1:4" x14ac:dyDescent="0.25">
      <c r="A176" s="5"/>
      <c r="B176" s="5"/>
      <c r="C176" s="5"/>
      <c r="D176" s="5"/>
    </row>
    <row r="177" spans="1:4" x14ac:dyDescent="0.25">
      <c r="A177" s="5"/>
      <c r="B177" s="5"/>
      <c r="C177" s="5"/>
      <c r="D177" s="5"/>
    </row>
    <row r="178" spans="1:4" x14ac:dyDescent="0.25">
      <c r="A178" s="5"/>
      <c r="B178" s="5"/>
      <c r="C178" s="5"/>
      <c r="D178" s="5"/>
    </row>
    <row r="179" spans="1:4" x14ac:dyDescent="0.25">
      <c r="A179" s="5"/>
      <c r="B179" s="5"/>
      <c r="C179" s="5"/>
      <c r="D179" s="5"/>
    </row>
    <row r="180" spans="1:4" x14ac:dyDescent="0.25">
      <c r="A180" s="5"/>
      <c r="B180" s="5"/>
      <c r="C180" s="5"/>
      <c r="D180" s="5"/>
    </row>
    <row r="181" spans="1:4" x14ac:dyDescent="0.25">
      <c r="A181" s="5"/>
      <c r="B181" s="5"/>
      <c r="C181" s="5"/>
      <c r="D181" s="5"/>
    </row>
    <row r="182" spans="1:4" x14ac:dyDescent="0.25">
      <c r="A182" s="5"/>
      <c r="B182" s="5"/>
      <c r="C182" s="5"/>
      <c r="D182" s="5"/>
    </row>
    <row r="183" spans="1:4" x14ac:dyDescent="0.25">
      <c r="A183" s="5"/>
      <c r="B183" s="5"/>
      <c r="C183" s="5"/>
      <c r="D183" s="5"/>
    </row>
    <row r="184" spans="1:4" x14ac:dyDescent="0.25">
      <c r="A184" s="5"/>
      <c r="B184" s="5"/>
      <c r="C184" s="5"/>
      <c r="D184" s="5"/>
    </row>
    <row r="185" spans="1:4" x14ac:dyDescent="0.25">
      <c r="A185" s="5"/>
      <c r="B185" s="5"/>
      <c r="C185" s="5"/>
      <c r="D185" s="5"/>
    </row>
    <row r="186" spans="1:4" x14ac:dyDescent="0.25">
      <c r="A186" s="5"/>
      <c r="B186" s="5"/>
      <c r="C186" s="5"/>
      <c r="D186" s="5"/>
    </row>
    <row r="187" spans="1:4" x14ac:dyDescent="0.25">
      <c r="A187" s="5"/>
      <c r="B187" s="5"/>
      <c r="C187" s="5"/>
      <c r="D187" s="5"/>
    </row>
    <row r="188" spans="1:4" x14ac:dyDescent="0.25">
      <c r="A188" s="5"/>
      <c r="B188" s="5"/>
      <c r="C188" s="5"/>
      <c r="D188" s="5"/>
    </row>
    <row r="189" spans="1:4" x14ac:dyDescent="0.25">
      <c r="A189" s="5"/>
      <c r="B189" s="5"/>
      <c r="C189" s="5"/>
      <c r="D189" s="5"/>
    </row>
    <row r="190" spans="1:4" x14ac:dyDescent="0.25">
      <c r="A190" s="5"/>
      <c r="B190" s="5"/>
      <c r="C190" s="5"/>
      <c r="D190" s="5"/>
    </row>
    <row r="191" spans="1:4" x14ac:dyDescent="0.25">
      <c r="A191" s="5"/>
      <c r="B191" s="5"/>
      <c r="C191" s="5"/>
      <c r="D191" s="5"/>
    </row>
    <row r="192" spans="1:4" x14ac:dyDescent="0.25">
      <c r="A192" s="5"/>
      <c r="B192" s="5"/>
      <c r="C192" s="5"/>
      <c r="D192" s="5"/>
    </row>
    <row r="193" spans="1:4" x14ac:dyDescent="0.25">
      <c r="A193" s="5"/>
      <c r="B193" s="5"/>
      <c r="C193" s="5"/>
      <c r="D193" s="5"/>
    </row>
    <row r="194" spans="1:4" x14ac:dyDescent="0.25">
      <c r="A194" s="5"/>
      <c r="B194" s="5"/>
      <c r="C194" s="5"/>
      <c r="D194" s="5"/>
    </row>
    <row r="195" spans="1:4" x14ac:dyDescent="0.25">
      <c r="A195" s="5"/>
      <c r="B195" s="5"/>
      <c r="C195" s="5"/>
      <c r="D195" s="5"/>
    </row>
    <row r="196" spans="1:4" x14ac:dyDescent="0.25">
      <c r="A196" s="5"/>
      <c r="B196" s="5"/>
      <c r="C196" s="5"/>
      <c r="D196" s="5"/>
    </row>
    <row r="197" spans="1:4" x14ac:dyDescent="0.25">
      <c r="A197" s="5"/>
      <c r="B197" s="5"/>
      <c r="C197" s="5"/>
      <c r="D197" s="5"/>
    </row>
    <row r="198" spans="1:4" x14ac:dyDescent="0.25">
      <c r="A198" s="5"/>
      <c r="B198" s="5"/>
      <c r="C198" s="5"/>
      <c r="D198" s="5"/>
    </row>
    <row r="199" spans="1:4" x14ac:dyDescent="0.25">
      <c r="A199" s="5"/>
      <c r="B199" s="5"/>
      <c r="C199" s="5"/>
      <c r="D199" s="5"/>
    </row>
    <row r="200" spans="1:4" x14ac:dyDescent="0.25">
      <c r="A200" s="5"/>
      <c r="B200" s="5"/>
      <c r="C200" s="5"/>
      <c r="D200" s="5"/>
    </row>
    <row r="201" spans="1:4" x14ac:dyDescent="0.25">
      <c r="A201" s="5"/>
      <c r="B201" s="5"/>
      <c r="C201" s="5"/>
      <c r="D201" s="5"/>
    </row>
    <row r="202" spans="1:4" x14ac:dyDescent="0.25">
      <c r="A202" s="5"/>
      <c r="B202" s="5"/>
      <c r="C202" s="5"/>
      <c r="D202" s="5"/>
    </row>
    <row r="203" spans="1:4" x14ac:dyDescent="0.25">
      <c r="A203" s="5"/>
      <c r="B203" s="5"/>
      <c r="C203" s="5"/>
      <c r="D203" s="5"/>
    </row>
    <row r="204" spans="1:4" x14ac:dyDescent="0.25">
      <c r="A204" s="5"/>
      <c r="B204" s="5"/>
      <c r="C204" s="5"/>
      <c r="D204" s="5"/>
    </row>
    <row r="205" spans="1:4" x14ac:dyDescent="0.25">
      <c r="A205" s="5"/>
      <c r="B205" s="5"/>
      <c r="C205" s="5"/>
      <c r="D205" s="5"/>
    </row>
    <row r="206" spans="1:4" x14ac:dyDescent="0.25">
      <c r="A206" s="5"/>
      <c r="B206" s="5"/>
      <c r="C206" s="5"/>
      <c r="D206" s="5"/>
    </row>
    <row r="207" spans="1:4" x14ac:dyDescent="0.25">
      <c r="A207" s="5"/>
      <c r="B207" s="5"/>
      <c r="C207" s="5"/>
      <c r="D207" s="5"/>
    </row>
    <row r="208" spans="1:4" x14ac:dyDescent="0.25">
      <c r="A208" s="5"/>
      <c r="B208" s="5"/>
      <c r="C208" s="5"/>
      <c r="D208" s="5"/>
    </row>
    <row r="209" spans="1:4" x14ac:dyDescent="0.25">
      <c r="A209" s="5"/>
      <c r="B209" s="5"/>
      <c r="C209" s="5"/>
      <c r="D209" s="5"/>
    </row>
    <row r="210" spans="1:4" x14ac:dyDescent="0.25">
      <c r="A210" s="5"/>
      <c r="B210" s="5"/>
      <c r="C210" s="5"/>
      <c r="D210" s="5"/>
    </row>
  </sheetData>
  <autoFilter ref="A1:D1" xr:uid="{00000000-0009-0000-0000-000000000000}"/>
  <sortState xmlns:xlrd2="http://schemas.microsoft.com/office/spreadsheetml/2017/richdata2" ref="A2:D96">
    <sortCondition descending="1" ref="D2:D96"/>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5D367-0784-4F2D-8FC0-0667472D3377}">
  <sheetPr codeName="Hoja2"/>
  <dimension ref="A1:B20"/>
  <sheetViews>
    <sheetView workbookViewId="0">
      <selection activeCell="A2" sqref="A2:B19"/>
    </sheetView>
  </sheetViews>
  <sheetFormatPr baseColWidth="10" defaultRowHeight="15" x14ac:dyDescent="0.25"/>
  <cols>
    <col min="1" max="1" width="21.42578125" bestFit="1" customWidth="1"/>
    <col min="2" max="2" width="31.28515625" bestFit="1" customWidth="1"/>
  </cols>
  <sheetData>
    <row r="1" spans="1:2" x14ac:dyDescent="0.25">
      <c r="A1" s="3" t="s">
        <v>3</v>
      </c>
      <c r="B1" s="3" t="s">
        <v>284</v>
      </c>
    </row>
    <row r="2" spans="1:2" x14ac:dyDescent="0.25">
      <c r="A2" s="6" t="s">
        <v>49</v>
      </c>
      <c r="B2" s="6">
        <v>2</v>
      </c>
    </row>
    <row r="3" spans="1:2" x14ac:dyDescent="0.25">
      <c r="A3" s="6" t="s">
        <v>53</v>
      </c>
      <c r="B3" s="6">
        <v>1</v>
      </c>
    </row>
    <row r="4" spans="1:2" x14ac:dyDescent="0.25">
      <c r="A4" s="6" t="s">
        <v>245</v>
      </c>
      <c r="B4" s="6">
        <v>3</v>
      </c>
    </row>
    <row r="5" spans="1:2" x14ac:dyDescent="0.25">
      <c r="A5" s="6" t="s">
        <v>63</v>
      </c>
      <c r="B5" s="6">
        <v>14</v>
      </c>
    </row>
    <row r="6" spans="1:2" x14ac:dyDescent="0.25">
      <c r="A6" s="6" t="s">
        <v>67</v>
      </c>
      <c r="B6" s="6">
        <v>3</v>
      </c>
    </row>
    <row r="7" spans="1:2" x14ac:dyDescent="0.25">
      <c r="A7" s="6" t="s">
        <v>45</v>
      </c>
      <c r="B7" s="6">
        <v>3</v>
      </c>
    </row>
    <row r="8" spans="1:2" x14ac:dyDescent="0.25">
      <c r="A8" s="6" t="s">
        <v>4</v>
      </c>
      <c r="B8" s="6">
        <v>1</v>
      </c>
    </row>
    <row r="9" spans="1:2" x14ac:dyDescent="0.25">
      <c r="A9" s="6" t="s">
        <v>265</v>
      </c>
      <c r="B9" s="6">
        <v>1</v>
      </c>
    </row>
    <row r="10" spans="1:2" x14ac:dyDescent="0.25">
      <c r="A10" s="6" t="s">
        <v>193</v>
      </c>
      <c r="B10" s="6">
        <v>3</v>
      </c>
    </row>
    <row r="11" spans="1:2" x14ac:dyDescent="0.25">
      <c r="A11" s="6" t="s">
        <v>12</v>
      </c>
      <c r="B11" s="6">
        <v>4</v>
      </c>
    </row>
    <row r="12" spans="1:2" x14ac:dyDescent="0.25">
      <c r="A12" s="6" t="s">
        <v>129</v>
      </c>
      <c r="B12" s="6">
        <v>4</v>
      </c>
    </row>
    <row r="13" spans="1:2" x14ac:dyDescent="0.25">
      <c r="A13" s="6" t="s">
        <v>71</v>
      </c>
      <c r="B13" s="6">
        <v>3</v>
      </c>
    </row>
    <row r="14" spans="1:2" x14ac:dyDescent="0.25">
      <c r="A14" s="6" t="s">
        <v>90</v>
      </c>
      <c r="B14" s="6">
        <v>20</v>
      </c>
    </row>
    <row r="15" spans="1:2" x14ac:dyDescent="0.25">
      <c r="A15" s="6" t="s">
        <v>255</v>
      </c>
      <c r="B15" s="6">
        <v>2</v>
      </c>
    </row>
    <row r="16" spans="1:2" x14ac:dyDescent="0.25">
      <c r="A16" s="6" t="s">
        <v>8</v>
      </c>
      <c r="B16" s="6">
        <v>17</v>
      </c>
    </row>
    <row r="17" spans="1:2" x14ac:dyDescent="0.25">
      <c r="A17" s="6" t="s">
        <v>112</v>
      </c>
      <c r="B17" s="6">
        <v>1</v>
      </c>
    </row>
    <row r="18" spans="1:2" x14ac:dyDescent="0.25">
      <c r="A18" s="6" t="s">
        <v>116</v>
      </c>
      <c r="B18" s="6">
        <v>6</v>
      </c>
    </row>
    <row r="19" spans="1:2" x14ac:dyDescent="0.25">
      <c r="A19" s="6" t="s">
        <v>59</v>
      </c>
      <c r="B19" s="6">
        <v>3</v>
      </c>
    </row>
    <row r="20" spans="1:2" x14ac:dyDescent="0.25">
      <c r="A20" s="6" t="s">
        <v>285</v>
      </c>
      <c r="B20" s="6">
        <f>SUM(B2:B19)</f>
        <v>91</v>
      </c>
    </row>
  </sheetData>
  <autoFilter ref="A1:B1" xr:uid="{AAD5D367-0784-4F2D-8FC0-0667472D3377}"/>
  <sortState xmlns:xlrd2="http://schemas.microsoft.com/office/spreadsheetml/2017/richdata2" ref="A2:B19">
    <sortCondition descending="1" ref="A2:A19"/>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POBLACION</vt:lpstr>
      <vt:lpstr>CLASIFICACION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Gustavo Egas Clavijo</dc:creator>
  <cp:lastModifiedBy>Gustavo Egas Clavijo</cp:lastModifiedBy>
  <dcterms:created xsi:type="dcterms:W3CDTF">2015-06-05T18:19:34Z</dcterms:created>
  <dcterms:modified xsi:type="dcterms:W3CDTF">2024-07-19T03:29:58Z</dcterms:modified>
</cp:coreProperties>
</file>