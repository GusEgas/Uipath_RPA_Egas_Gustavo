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83D2E7C9-8C68-4161-A600-807B7BFE79A2}" xr6:coauthVersionLast="47" xr6:coauthVersionMax="47" xr10:uidLastSave="{00000000-0000-0000-0000-000000000000}"/>
  <bookViews>
    <workbookView xWindow="2250" yWindow="3960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E2" i="1"/>
  <c r="E3" i="1"/>
  <c r="E4" i="1"/>
  <c r="E7" i="1" s="1"/>
  <c r="E8" i="1" s="1"/>
  <c r="E5" i="1"/>
</calcChain>
</file>

<file path=xl/sharedStrings.xml><?xml version="1.0" encoding="utf-8"?>
<sst xmlns="http://schemas.openxmlformats.org/spreadsheetml/2006/main" count="24" uniqueCount="19">
  <si>
    <t>Número Telefónico</t>
  </si>
  <si>
    <t>Nombre del Propietario</t>
  </si>
  <si>
    <t>Dirección</t>
  </si>
  <si>
    <t>Localidad</t>
  </si>
  <si>
    <t>72276418</t>
  </si>
  <si>
    <t>GUZMAN CLAVIJO CRISTIAN RAUL</t>
  </si>
  <si>
    <t>ANTONIO FLOR 0 Y GARCIA MORENO ANTONIO FLOR 0 N Y GARCIA MORENO OFICINA CON LETRERO CRISTIAN GUZMAN ARQUITECTO</t>
  </si>
  <si>
    <t>GIRON</t>
  </si>
  <si>
    <t>72275288</t>
  </si>
  <si>
    <t>CLAVIJO FAJARDO FLORENCIO RODRIGO</t>
  </si>
  <si>
    <t>AVENIDA MUNICIPAL</t>
  </si>
  <si>
    <t>72275239</t>
  </si>
  <si>
    <t>CLAVIJO FAJARDO TERESA SULIMA DE JESUS</t>
  </si>
  <si>
    <t>ANTONIO FLOR 620 Y -</t>
  </si>
  <si>
    <t>72275067</t>
  </si>
  <si>
    <t>CLAVIJO FAJARDO HUMBERTO AGUSTIN</t>
  </si>
  <si>
    <t>JUAN VINTIMILLA 0 Y ANDRES CORDOVA JUAN VEINTIMILLA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</si>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</sst>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1"/>
  <sheetViews>
    <sheetView tabSelected="1" workbookViewId="0">
      <selection activeCell="D13" sqref="D13 D13"/>
    </sheetView>
  </sheetViews>
  <sheetFormatPr baseColWidth="10" defaultColWidth="20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4</v>
      </c>
      <c r="B2" s="5" t="s">
        <v>5</v>
      </c>
      <c r="C2" s="5" t="s">
        <v>6</v>
      </c>
      <c r="D2" s="5" t="s">
        <v>7</v>
      </c>
      <c r="E2" s="1">
        <f>COUNTA(D2:D1000)</f>
        <v>4</v>
      </c>
    </row>
    <row r="3" spans="1:5" x14ac:dyDescent="0.25">
      <c r="A3" s="5" t="s">
        <v>8</v>
      </c>
      <c r="B3" s="5" t="s">
        <v>9</v>
      </c>
      <c r="C3" s="5" t="s">
        <v>10</v>
      </c>
      <c r="D3" s="5" t="s">
        <v>7</v>
      </c>
      <c r="E3" s="1">
        <f>COUNTIF(D2:D1000,"Localidad")</f>
        <v>0</v>
      </c>
    </row>
    <row r="4" spans="1:5" x14ac:dyDescent="0.25">
      <c r="A4" s="5" t="s">
        <v>11</v>
      </c>
      <c r="B4" s="5" t="s">
        <v>12</v>
      </c>
      <c r="C4" s="5" t="s">
        <v>13</v>
      </c>
      <c r="D4" s="5" t="s">
        <v>7</v>
      </c>
      <c r="E4" s="1">
        <f>COUNTIF(D2:D1000,":: DATOS TELEFONICOS ::")</f>
        <v>0</v>
      </c>
    </row>
    <row r="5" spans="1:5" x14ac:dyDescent="0.25">
      <c r="A5" s="5" t="s">
        <v>14</v>
      </c>
      <c r="B5" s="5" t="s">
        <v>15</v>
      </c>
      <c r="C5" s="5" t="s">
        <v>16</v>
      </c>
      <c r="D5" s="5" t="s">
        <v>7</v>
      </c>
      <c r="E5" s="1">
        <f>COUNTIF(D2:D1000,":: No hay teléfonos con estos datos ::")</f>
        <v>0</v>
      </c>
    </row>
    <row r="6" spans="1:5" x14ac:dyDescent="0.25">
      <c r="A6" s="5"/>
      <c r="B6" s="5"/>
      <c r="C6" s="5"/>
      <c r="D6" s="5"/>
      <c r="E6" s="1"/>
    </row>
    <row r="7" spans="1:5" x14ac:dyDescent="0.25">
      <c r="A7" s="5"/>
      <c r="B7" s="5"/>
      <c r="C7" s="5"/>
      <c r="D7" s="5"/>
      <c r="E7" s="1">
        <f>E2-E4-E5-E3</f>
        <v>4</v>
      </c>
    </row>
    <row r="8" spans="1:5" x14ac:dyDescent="0.25">
      <c r="A8" s="5"/>
      <c r="B8" s="5"/>
      <c r="C8" s="5"/>
      <c r="D8" s="5"/>
      <c r="E8" s="1" t="str">
        <f>IF(E7&lt;=1,"No existen contactos","Numero de contactos :"&amp;E7)</f>
        <v>Numero de contactos :4</v>
      </c>
    </row>
    <row r="9" spans="1:5" x14ac:dyDescent="0.25">
      <c r="A9" s="5"/>
      <c r="B9" s="5"/>
      <c r="C9" s="5"/>
      <c r="D9" s="5"/>
    </row>
    <row r="10" spans="1:5" x14ac:dyDescent="0.25">
      <c r="A10" s="5"/>
      <c r="B10" s="5"/>
      <c r="C10" s="5"/>
      <c r="D10" s="5"/>
    </row>
    <row r="11" spans="1:5" x14ac:dyDescent="0.25">
      <c r="A11" s="5"/>
      <c r="B11" s="5"/>
      <c r="C11" s="5"/>
      <c r="D11" s="5"/>
    </row>
    <row r="12" spans="1:5" x14ac:dyDescent="0.25">
      <c r="A12" s="5"/>
      <c r="B12" s="5"/>
      <c r="C12" s="5"/>
      <c r="D12" s="5"/>
    </row>
    <row r="13" spans="1:5" x14ac:dyDescent="0.25">
      <c r="A13" s="5"/>
      <c r="B13" s="5"/>
      <c r="C13" s="5"/>
      <c r="D13" s="5"/>
    </row>
    <row r="14" spans="1:5" x14ac:dyDescent="0.25">
      <c r="A14" s="5"/>
      <c r="B14" s="5"/>
      <c r="C14" s="5"/>
      <c r="D14" s="5"/>
    </row>
    <row r="15" spans="1:5" x14ac:dyDescent="0.25">
      <c r="A15" s="5"/>
      <c r="B15" s="5"/>
      <c r="C15" s="5"/>
      <c r="D15" s="5"/>
    </row>
    <row r="16" spans="1:5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</sheetData>
  <autoFilter ref="A1:D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3"/>
  <sheetViews>
    <sheetView workbookViewId="0">
      <selection activeCell="B18" sqref="B18 B18"/>
    </sheetView>
  </sheetViews>
  <sheetFormatPr baseColWidth="10" defaultRowHeight="15" x14ac:dyDescent="0.25"/>
  <cols>
    <col min="1" max="1" width="12.57031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17</v>
      </c>
    </row>
    <row r="2" spans="1:2" x14ac:dyDescent="0.25">
      <c r="A2" s="6" t="s">
        <v>7</v>
      </c>
      <c r="B2" s="6">
        <v>4</v>
      </c>
    </row>
    <row r="3" spans="1:2" x14ac:dyDescent="0.25">
      <c r="A3" s="6" t="s">
        <v>18</v>
      </c>
      <c r="B3" s="6">
        <f>SUM(B2:B2)</f>
        <v>4</v>
      </c>
    </row>
  </sheetData>
  <autoFilter ref="A1:B1" xr:uid="{AAD5D367-0784-4F2D-8FC0-0667472D3377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2024-05-29T15:35:59Z</dcterms:modified>
</cp:coreProperties>
</file>