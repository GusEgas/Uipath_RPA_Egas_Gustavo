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A4AA3C43-BE61-45EF-AF0B-0169154F55C2}" xr6:coauthVersionLast="47" xr6:coauthVersionMax="47" xr10:uidLastSave="{00000000-0000-0000-0000-000000000000}"/>
  <bookViews>
    <workbookView xWindow="2250" yWindow="3960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<sst xmlns="http://schemas.openxmlformats.org/spreadsheetml/2006/main" count="831" uniqueCount="588">
  <si>
    <t>Número Telefónico</t>
  </si>
  <si>
    <t>Nombre del Propietario</t>
  </si>
  <si>
    <t>Dirección</t>
  </si>
  <si>
    <t>Localidad</t>
  </si>
  <si>
    <t>Número Reservado</t>
  </si>
  <si>
    <t>24791951</t>
  </si>
  <si>
    <t>BLANCO VILLEGAS ERIKA MIREYA</t>
  </si>
  <si>
    <t>AV. CARDENAL DE LA TORRE S15 4 Y MANUEL ALVARADO A LADO DE UN MICRO MERCADO CASA DE 4 PISO AMARILLO MANUEL ALVARADO A LADO DE UN MICRO MERCADO CASA DE 4 PISO AMARILLO MANUEL ALVARADO MANUEL ALVARADO</t>
  </si>
  <si>
    <t>QUITO</t>
  </si>
  <si>
    <t>24763137</t>
  </si>
  <si>
    <t>CARLOS RENE RUIZ EGAS</t>
  </si>
  <si>
    <t>NICANOR ARELLANO 91 Y CALLE S26 CALLE S26</t>
  </si>
  <si>
    <t>24759712</t>
  </si>
  <si>
    <t>ALICIA DEL ROCIO EGAS MENA</t>
  </si>
  <si>
    <t>SAN IGNACIO 0 Y Y N30A N30A</t>
  </si>
  <si>
    <t>24758910</t>
  </si>
  <si>
    <t>CABEZA VANEGAS LEON LUCERO PATRICIA</t>
  </si>
  <si>
    <t>CAMINO REAL 115L Y CALLE PRINCIPAL ----- PAKAKUNA GARDEN VILLA 115</t>
  </si>
  <si>
    <t>CHECA</t>
  </si>
  <si>
    <t>24528940</t>
  </si>
  <si>
    <t>CAMACHO VILLEGAS ANA CAROLINA</t>
  </si>
  <si>
    <t>ALONSO TORRES 0 Y AV FRANCISCO DE LA PITA CND-PLAZA DEL BOSQUE</t>
  </si>
  <si>
    <t>24523346</t>
  </si>
  <si>
    <t>ALICIA AMERICA ARIOPAJAS VILLEGAS</t>
  </si>
  <si>
    <t>ZARUMA 0Y Y ARENILLAS .</t>
  </si>
  <si>
    <t>24515703</t>
  </si>
  <si>
    <t>ABEL FRANCISCO EGAS ROSERO</t>
  </si>
  <si>
    <t>OTO AROSEMENA GOMEZ 0 Y GENERAL RUMI�AHUI</t>
  </si>
  <si>
    <t>24511880</t>
  </si>
  <si>
    <t>ALICIA ISABEL VENEGAS</t>
  </si>
  <si>
    <t>AV OCCIDENTAL 0Y Y CESAR VILLACRES BLOQUE G3 CONJUNTO HABITACIONAL PALERMO BLOQUE G3 CONJUNTO HABITACIONAL PALERMO</t>
  </si>
  <si>
    <t>24510752</t>
  </si>
  <si>
    <t>ANDRANGO VILLEGAS LIZETH ESTEFANIA</t>
  </si>
  <si>
    <t>CALLE 1 0L Y CALLE 2 PSJE SALVADOR ALLENDE 1ERA TRANSVERSAL 145 Y ALV PSJE SALVADOR ALLENDE 1ERA TRANSVERSAL 145 Y ALV</t>
  </si>
  <si>
    <t>24508017</t>
  </si>
  <si>
    <t>BENEGAS CAPILLA GUADALUPE MARISOL</t>
  </si>
  <si>
    <t>ESCALON 2 196L MZ 9A BLOQUE 5 DIVINO NI�O MZ 9A BLOQUE 5 DIVINO NI�O</t>
  </si>
  <si>
    <t>24507024</t>
  </si>
  <si>
    <t>CA�AS VANEGAS FABIAN GIOVANNY</t>
  </si>
  <si>
    <t>AUTOPISTA GENERAL RUMI�AHUI KM 0Y Y CALLE S4P</t>
  </si>
  <si>
    <t>24502207</t>
  </si>
  <si>
    <t>BOUSSINGAULT 140 Y JIMENEZ DE LA ESPADA EDF ECOS PISO 2 DEPT 202 EDF-ECOS-PISO-2-DEPT-202</t>
  </si>
  <si>
    <t>24502067</t>
  </si>
  <si>
    <t>CARMEN VICTORIA VILLEGAS RODRIGUEZ</t>
  </si>
  <si>
    <t>SAN JUAN DE DIOS 0 Y AV ARGENTINA CND BAVARIA CASA 15 CND-BAVARIA-CASA-15</t>
  </si>
  <si>
    <t>SAN RAFAEL</t>
  </si>
  <si>
    <t>24501102</t>
  </si>
  <si>
    <t>ANA MARIA EGAS LARREATEGUI</t>
  </si>
  <si>
    <t>BELISARIO QUEVEDO 0Y Y GENERAL MALDONADO</t>
  </si>
  <si>
    <t>CUMBAYA</t>
  </si>
  <si>
    <t>23910095</t>
  </si>
  <si>
    <t>ARCINIEGAS HERNANDEZ MARTHA</t>
  </si>
  <si>
    <t>CALLE PRINCIPAL 37 Y EL QUINCHE CALLE PRINCIPAL 37</t>
  </si>
  <si>
    <t>EL QUINCHE</t>
  </si>
  <si>
    <t>23874502</t>
  </si>
  <si>
    <t>CARLOS VICENTE HEREDIA BANEGAS</t>
  </si>
  <si>
    <t>CACHA 2L Y SANTA BARBARA FAJARDO LOTE 2 FAJARDO LOTE 2</t>
  </si>
  <si>
    <t>SANGOLQUI</t>
  </si>
  <si>
    <t>23818929</t>
  </si>
  <si>
    <t>CARDENAS VILLEGAS CARMEN MERCEDES ENRIQUETA</t>
  </si>
  <si>
    <t>AVENIDA CORU�A N30- 40 Y ERNESTO NOBOA CAAMA�O EDIFICIO GUILVINEC DEPARTAMENTO 2C 2DO PISO EDIFICIO-GUILVINEC-DEP. 2C-2DO. PISO AVENIDA CORU�A N30-</t>
  </si>
  <si>
    <t>23817614</t>
  </si>
  <si>
    <t>EDIFICIO LADERA ESTE 9NO PISO AVENIDA GONZALES SUAREZ 800</t>
  </si>
  <si>
    <t>23816594</t>
  </si>
  <si>
    <t>CARRERA VENEGAS SEGUNDO ELICEO</t>
  </si>
  <si>
    <t>CALLE E5D 5L Y ----- CALL S48F BRR ELBEATERIO</t>
  </si>
  <si>
    <t>23813891</t>
  </si>
  <si>
    <t>ALVEAR EGAS MARTHA IRINA</t>
  </si>
  <si>
    <t>MARIANO SUAREZ VEINTIMILLA 26B SECTOR CARCELEN SECTOR-CARCELEN</t>
  </si>
  <si>
    <t>23811440</t>
  </si>
  <si>
    <t>ALEXANDER MIGUEL EGAS VIVAS</t>
  </si>
  <si>
    <t>MIAMI 0 Y CAPITAN GEOVANY CALLES CONJ. PORTAL DE MIAMI CASA 49 CASA 49</t>
  </si>
  <si>
    <t>CALDERON</t>
  </si>
  <si>
    <t>23804210</t>
  </si>
  <si>
    <t>BETTY ROXANNA VILLEGAS SOLORZANO</t>
  </si>
  <si>
    <t>TEJAR 116 Y CERRO NARRIO URB REAL ALTO URB-REAL ALTO CUMBAYA</t>
  </si>
  <si>
    <t>23720829</t>
  </si>
  <si>
    <t>BLANCA ARACELY VANEGAS VARGAS</t>
  </si>
  <si>
    <t>CALLE PRINCIPAL 9C Y CALLE A MZ 78 MZ 78</t>
  </si>
  <si>
    <t>LA VICTORIA COTOPAXI</t>
  </si>
  <si>
    <t>23711876</t>
  </si>
  <si>
    <t>ARCE VILLEGAS GLORIA DEL CARMEN</t>
  </si>
  <si>
    <t>ANTOFAGASTA 0 Y MARACAY</t>
  </si>
  <si>
    <t>23705720</t>
  </si>
  <si>
    <t>BANEGAS BELTRAN ALFONSO OSWALDO</t>
  </si>
  <si>
    <t>VIA A CHONE 609 Y JUAN MONTALVO</t>
  </si>
  <si>
    <t>23694281</t>
  </si>
  <si>
    <t>BASANTES VILLEGAS MARCO ANTONIO</t>
  </si>
  <si>
    <t>FRANCISCO CAMPO 0 Y CLL PEDRO CONCHA CND SAN FRANCISCO CND-SAN FRANCISCO</t>
  </si>
  <si>
    <t>23660909</t>
  </si>
  <si>
    <t>BANEGAS CALI MARIA EULALIA</t>
  </si>
  <si>
    <t>CALLE S47B 744 Y CALLE OE3K- CDLA EL EJERCITO 2 CDLA EL EJERCITO 2</t>
  </si>
  <si>
    <t>23526544</t>
  </si>
  <si>
    <t>ANA CRISTINA CARRERA EGAS</t>
  </si>
  <si>
    <t>CONDORAZO 10L BL CONJUNTO BAMBU II CASA 10 BL-CONJUNTO BAMBU II</t>
  </si>
  <si>
    <t>23519636</t>
  </si>
  <si>
    <t>ALARCON EGAS BEATRIZ ELOISA</t>
  </si>
  <si>
    <t>EL ZURIAGO 0 Y EL VENGADOR EDF MODIGLIANNI IV PISO 7 DEPT 24 EDF-MODIGLIANNI IV-PISO-7-DEPT-24</t>
  </si>
  <si>
    <t>23515780</t>
  </si>
  <si>
    <t>BLANCA ISABEL EGAS VELASCO</t>
  </si>
  <si>
    <t>MANUEL SAMANIEGO 0 Y Y BERNARDO DE LEGARDA ESQUINA EDIFICIO PIRACANTO DPTO O 701 SAN JUAN DE CUMBAYA ESQUINA EDIFICIO PIRACANTO DPTO O 701 SAN JUAN DE CUMBAYA BERNARDO DE LEGARDA</t>
  </si>
  <si>
    <t>23515535</t>
  </si>
  <si>
    <t>ARCINIEGAS RODRIGUEZ NUBIA</t>
  </si>
  <si>
    <t>ANTIGUA VIA A NAYON 0 Y 0 EDF FED'S PISO 12 DEPT 801B EDF-FED'S-PISO-12-DEPT-801B</t>
  </si>
  <si>
    <t>23510457</t>
  </si>
  <si>
    <t>ANGUISACA BANEGAS JOSE ANTONIO</t>
  </si>
  <si>
    <t>25 DE NOVIEMBRE 0 Y MARIA ISABEL DE SANTIAGO OE12 - LT 51</t>
  </si>
  <si>
    <t>23482020</t>
  </si>
  <si>
    <t>BENEGAS BORJA WASHINGTON MANUEL</t>
  </si>
  <si>
    <t>ALBORNOZ 41L Y VIA PRINCIPAL A SAN JUAN CONJUNTO LA PRADERA</t>
  </si>
  <si>
    <t>23474701</t>
  </si>
  <si>
    <t>ANTONIO SANTIAGO VILLEGAS SORIA</t>
  </si>
  <si>
    <t>MANUEL BENITEZ OE1- 80 Y 17 DE SEPTIEMBRE casa de 1p enlusida casa de 1p enlusida 17 DE SEPTIEMBRE</t>
  </si>
  <si>
    <t>LLANO CHICO</t>
  </si>
  <si>
    <t>23471832</t>
  </si>
  <si>
    <t>ANA CRISTINA EGAS VITERI</t>
  </si>
  <si>
    <t>CARLOS MANTILLA 0 Y SANTANDER CONJTO LA GRAN VIA CASA 11 SECTOR CALDERON</t>
  </si>
  <si>
    <t>23450790</t>
  </si>
  <si>
    <t>CALAHORRANO EGAS AIDA MARIA</t>
  </si>
  <si>
    <t>AVENIDA LA BOTA E19 48 Y CAMILO QUINTANA</t>
  </si>
  <si>
    <t>23441595</t>
  </si>
  <si>
    <t>ARCINIEGAS ARCINIEGAS OLGA LUCIA</t>
  </si>
  <si>
    <t>CARCELEN 0 DIAMANTE N89 LT 1672 TURQUEZA OE2 JOSEFINA OE2-30 . DIAMANTE N89 LT-1672-TURQUEZA OE2-JOSEFINA-OE2-30-.</t>
  </si>
  <si>
    <t>23432648</t>
  </si>
  <si>
    <t>CARRERA EGAS CARMEN CECILIA</t>
  </si>
  <si>
    <t>LULUBAMBA 0 Y MISION GEODESICA CONJUNTO INTI�AN II DEPARTAMENTO B2-3-101 CONJUNTO-INTI�AN II-DPTO-B2-3-101 LULUBAMBA</t>
  </si>
  <si>
    <t>SAN ANTONIO DE PICHINCHA</t>
  </si>
  <si>
    <t>23430723</t>
  </si>
  <si>
    <t>ALVAREZ VENEGAS VICENTE RENE</t>
  </si>
  <si>
    <t>PUSUQUI EL ROSAL 128</t>
  </si>
  <si>
    <t>POMASQUI</t>
  </si>
  <si>
    <t>23408507</t>
  </si>
  <si>
    <t>BOLA�OS ARCINIEGAS JOSE MIGUEL</t>
  </si>
  <si>
    <t>YANACONAS 0 CJTO CONDADO DEL MAGISTERIO BLOQUE 7 MZN 4 DPTO 1</t>
  </si>
  <si>
    <t>23402020</t>
  </si>
  <si>
    <t>ANDRADE VILLEGAS BERTHA CARMEN</t>
  </si>
  <si>
    <t>AV MARISCAL SUCRE N56 344 Y AV FERNANDEZ SALVADOR</t>
  </si>
  <si>
    <t>23396843</t>
  </si>
  <si>
    <t>ARCINIEGAS RECALDE MARIA LEONOR</t>
  </si>
  <si>
    <t>CALLE 2A 1413 Y CALLE 20 CALLE 2A</t>
  </si>
  <si>
    <t>23388782</t>
  </si>
  <si>
    <t>BETTY FERNANDA JUMA ARCINIEGAS</t>
  </si>
  <si>
    <t>CALLE N70D 1467 Y CALLE OE17C N74- ----- RANCHO ALTO</t>
  </si>
  <si>
    <t>23343201</t>
  </si>
  <si>
    <t>CANDO VILLEGAS MARCO VINICIO</t>
  </si>
  <si>
    <t>JAIME ANDRADE N45- 161 Y GONZALO ENDARA CROW EDIFICIO PALERMO PISO 1 DEPARTAMENTO 1 EDIF PALERMO-PISO 1 DPTO 1 SECT LOMA DE MONTESERRIN</t>
  </si>
  <si>
    <t>23333568</t>
  </si>
  <si>
    <t>ALFREDO WILSON ARCINIEGAS RODRIGUEZ</t>
  </si>
  <si>
    <t>JOSE BOSMEDIANO E11 43 Y GENERAL ROCA EDIFICIO DE JEREZ II PISO 5 DEPARTAMENTO A-501 EDF DE JEREZ-II PISO 5-DEPTO-A-501 JOSE BOSMEDIANO E11</t>
  </si>
  <si>
    <t>23333116</t>
  </si>
  <si>
    <t>ARMAS VENEGAS VICENTE ESTUARDO</t>
  </si>
  <si>
    <t>AVENIDA GONZALES SUAREZ 0 Y BOSMEDIANO BELLAVISTA PIISO 3 DEPARTAMENTO 305 BELLAVISTA-PIISO 3-DPTO-305 AVENIDA GONZALEZ SUAREZ</t>
  </si>
  <si>
    <t>23330308</t>
  </si>
  <si>
    <t>ARACELI DEL ROSARIO ARCINIEGAS RODRIGUEZ</t>
  </si>
  <si>
    <t>GONZALO SERRANO N37 50 Y JOSE CORREA CASA PISO 3 CASA-PISO 3</t>
  </si>
  <si>
    <t>23316168</t>
  </si>
  <si>
    <t>CAROLINA JOAN ADUM VILLEGAS</t>
  </si>
  <si>
    <t>HERNANDEZ DE GIRON 0 Y EL PEDREGAL CONJ. SAN MARTIN 3 TORRE 18 DEP 403 CONJ. SAN MARTIN 3 TORRE 18 DEP 403</t>
  </si>
  <si>
    <t>23303025</t>
  </si>
  <si>
    <t>ARCINIEGAS BENITEZ ANA REBECA</t>
  </si>
  <si>
    <t>MACHALA N52 87 Y AV. DE LA FLORIDA</t>
  </si>
  <si>
    <t>23302589</t>
  </si>
  <si>
    <t>CALDERON EGAS RAUL ANTONIO</t>
  </si>
  <si>
    <t>INGAPIRCA 433 Y ZAPAROS SECTOR LA FLORIDA SECT LA-FLORIDA INGAPIRCA</t>
  </si>
  <si>
    <t>23264019</t>
  </si>
  <si>
    <t>CAJAS BANEGAS SHIRLEY MIREYA</t>
  </si>
  <si>
    <t>SAN JOSE 0 Y DE LOS NOGALES CJTO ENTRE PINOS CASA 7-16</t>
  </si>
  <si>
    <t>23238661</t>
  </si>
  <si>
    <t>AIDA DE LAS MERCEDES EGAS</t>
  </si>
  <si>
    <t>PABLO SUAREZ E6- 35 Y AV ELOY ALFARO E10- AV ELOY ALFARO E10-</t>
  </si>
  <si>
    <t>23230372</t>
  </si>
  <si>
    <t>CAMACHO BANEGAS MALENA KATHERINE</t>
  </si>
  <si>
    <t>PLACIDO CAAMA�O 0 Y AV. COLON EDF ASPEN PISO 5 DEPT 504 EDF-ASPEN-PISO-5-DEPT-504</t>
  </si>
  <si>
    <t>23226228</t>
  </si>
  <si>
    <t>CARLOS NAPOLEON VILLEGAS ROSERO</t>
  </si>
  <si>
    <t>MXA CONJUNTO PLAZA BRASILIA DEPARTAMENTO 406C CALLE LADRON DE GUEVARA Y TOLED E LADRON DE GUEVARA Y TOLED</t>
  </si>
  <si>
    <t>23215776</t>
  </si>
  <si>
    <t>ANALUCA VILLEGAS CLEMENCIA LUCIA</t>
  </si>
  <si>
    <t>MONTEVIDEO OE7 43Y Y NUEVA YORK</t>
  </si>
  <si>
    <t>23195322</t>
  </si>
  <si>
    <t>ARCINIEGAS PEREZ MAGDALENA BERNABE</t>
  </si>
  <si>
    <t>DIEGO MONTANERO E14- 1 Y MANUEL RUALES</t>
  </si>
  <si>
    <t>23181035</t>
  </si>
  <si>
    <t>ANA DANIELA EGAS BALSECA</t>
  </si>
  <si>
    <t>ALFREDO ALBORNOZ 0 Y URE�A LT E17B</t>
  </si>
  <si>
    <t>23170338</t>
  </si>
  <si>
    <t>BUSTILLOS VILLEGAS AUGUSTO OLMEDO</t>
  </si>
  <si>
    <t>AYMERICH 1280</t>
  </si>
  <si>
    <t>23130690</t>
  </si>
  <si>
    <t>BLANCA EUGENIA DEL ROSARIO VENEGAS TOAPANTA</t>
  </si>
  <si>
    <t>JUAN VIZUETE S6 186 Y CALLE S6- JUAN VIZUETE S6 186 Y CALLE S6C CASA ESQ 2P POR TERMINAR LANFOR PLOMO</t>
  </si>
  <si>
    <t>23113706</t>
  </si>
  <si>
    <t>AIDA DE LAS MERCEDES EGAS PEREZ</t>
  </si>
  <si>
    <t>PABLO SUAREZ E6- 35 Y AV. ELOY ALFARO</t>
  </si>
  <si>
    <t>23081518</t>
  </si>
  <si>
    <t>CARLOS RAMIRO TIGSE VENEGAS</t>
  </si>
  <si>
    <t>CATARAMA 0 L Y PALENQUE conjunto villa real // casa 128 b conjunto villa real // casa 128 b PALENQUE</t>
  </si>
  <si>
    <t>23061007</t>
  </si>
  <si>
    <t>ALEJANDRO JOSE REJON VILLEGAS</t>
  </si>
  <si>
    <t>BONIFACIO AGUILAR 0 Y JOSE MARIA ALEMAN JOSE MARIA ALEMAN</t>
  </si>
  <si>
    <t>23048091</t>
  </si>
  <si>
    <t>ALICIA MARGOTH VILLEGAS DOMINGUEZ</t>
  </si>
  <si>
    <t>CALLE S34A 16 L Y CALLE S35D CALLE E5A 16L Y CALLE S35D MANZANA 47 S35-180</t>
  </si>
  <si>
    <t>23032766</t>
  </si>
  <si>
    <t>ARAUJO EGAS VICENTE MESIAS</t>
  </si>
  <si>
    <t>CARLOS FREILE 615 BARRIO LA LIBERTAD BARRIO LA-LIBERTAD</t>
  </si>
  <si>
    <t>22974053</t>
  </si>
  <si>
    <t>BLANCA CARMELINA RECALDE VENEGAS</t>
  </si>
  <si>
    <t>GUAMANI COOPERATIVA ARGENTINA CALLE B LOTE 134A Y CALLE I</t>
  </si>
  <si>
    <t>22953223</t>
  </si>
  <si>
    <t>ARCINIEGAS BENITEZ WILSON COSME</t>
  </si>
  <si>
    <t>CIUDADELA AMAZONAS 19 DE JUNIO207 SECTOR 2 19 DE JUNIO 207 SECTOR 2</t>
  </si>
  <si>
    <t>22952390</t>
  </si>
  <si>
    <t>ALEXANDRA DEL ROCIO TUNATO VILLEGAS</t>
  </si>
  <si>
    <t>BUGA N11 26 Y CONDORCUNCA -----</t>
  </si>
  <si>
    <t>22950485</t>
  </si>
  <si>
    <t>ALOMOTO VENEGAS JORGE ENRIQUE</t>
  </si>
  <si>
    <t>AVENIDA ABDON CALDERON 930 Y RUMINIAHUI AVENIDA ABDON CALDERON</t>
  </si>
  <si>
    <t>22924454</t>
  </si>
  <si>
    <t>ANA LUCIA ESTEVEZ VILLEGAS</t>
  </si>
  <si>
    <t>INQ CIUDADELA SAN JOSE PASAJE C CASA 145 Y JAIME CHIRIBOGA</t>
  </si>
  <si>
    <t>22923854</t>
  </si>
  <si>
    <t>AGUILAR VENEGAS SUSANA ELENA</t>
  </si>
  <si>
    <t>PASAJE CARLOS TAMAYO E10- 0Y Y AV 6 DE DICIEMBRE EDF KENDRA PISO 3 DEPT 3A</t>
  </si>
  <si>
    <t>22922910</t>
  </si>
  <si>
    <t>ANTONIO EGAS TERAN</t>
  </si>
  <si>
    <t>AVENIDA GONZALEZ SUAREZ N34- 46 Y FERNANDO AYARZA ----- AVENIDA GONZALEZ SUAREZ N34-</t>
  </si>
  <si>
    <t>22908494</t>
  </si>
  <si>
    <t>AVENIDA GONZALES SUAREZ 516 Y SAN IGNACIO EDIFICIO OLIMPUS II PISO 7 DEPARTAMENTO 701 EDF-OLIMPUS II-PISO-7-DEPT-701 AVENIDA GONZALEZ SUAREZ</t>
  </si>
  <si>
    <t>22889410</t>
  </si>
  <si>
    <t>URBANIZACION RANCHO SAN FRANCISCO LT- 85 VIA TANDA</t>
  </si>
  <si>
    <t>TANDA</t>
  </si>
  <si>
    <t>22889076</t>
  </si>
  <si>
    <t>CARLOS ALBERTO EGAS ARGUELLO</t>
  </si>
  <si>
    <t>VICENTE FLOR CEDE�O 0 Y LEONIDAS PROA�O LOTE 3 PB DIRIGIENDOSE POR EL CLUB RANCHA S. FRANCISCO LOTE 3 PB DIRIGIENDOSE POR EL CLUB RANCHA S. FRANCISCO</t>
  </si>
  <si>
    <t>22872392</t>
  </si>
  <si>
    <t>ARCINIEGAS PAEZ WILSON SAID</t>
  </si>
  <si>
    <t>JUAN DE SALINAS 0 Y PARQUE ENKODER CONJUNTO RINCON DEL BOSQUE CASA 8 SECTOR SELVA ALEGRE JUAN DE SALINAS</t>
  </si>
  <si>
    <t>SELVA ALEGRE PICHINCHA</t>
  </si>
  <si>
    <t>22870913</t>
  </si>
  <si>
    <t>ANGEL ROLNDO VILLEGAS TERAN</t>
  </si>
  <si>
    <t>DE LOS ANTURIOS 218 Y AV DE LAS ROSAS CLUB LOS CHILLOS CASA BLANCA CON GRIS CLUB LOS CHILLOS CASA BLANCA CON GRIS AV DE LAS ROSAS</t>
  </si>
  <si>
    <t>22869608</t>
  </si>
  <si>
    <t>CAPELO VENEGAS RINA ALEXANDRA</t>
  </si>
  <si>
    <t>ILALO S4- 389 Y S4G EDIFICIO BRAVO DPTO 11 Y S4G EDIFICIO-BRAVO DPTO 11</t>
  </si>
  <si>
    <t>22863774</t>
  </si>
  <si>
    <t>ARMAS VENEGAS MARTHA GUADALUPE</t>
  </si>
  <si>
    <t>SAN RAFAEL URBANIZACION CAPELO</t>
  </si>
  <si>
    <t>22863033</t>
  </si>
  <si>
    <t>CAROLINA EGAS ZAMORA</t>
  </si>
  <si>
    <t>AV. ILALO 148 Y FARINA</t>
  </si>
  <si>
    <t>22862215</t>
  </si>
  <si>
    <t>CARLOS MARCELO PONCE EGAS</t>
  </si>
  <si>
    <t>PARIS 56 Y Y BERLIN URBANIZACION SAN RAFAEL PARIS</t>
  </si>
  <si>
    <t>22862068</t>
  </si>
  <si>
    <t>ARCINIEGAS RODRIGUEZ ROSA ANGELICA</t>
  </si>
  <si>
    <t>SAN RAFAEL URBANIZACION PLAYA CHICA LOTE 5 E</t>
  </si>
  <si>
    <t>22860003</t>
  </si>
  <si>
    <t>AVENIDA SAN LUIS 0 Y DECIMA TRANSVERSAL CONDOMINIO VALLE VERDE CND-VALLE VERDE AVENIDA SAN LUIS</t>
  </si>
  <si>
    <t>22850092</t>
  </si>
  <si>
    <t>ARGENTINA 0 Y SAN JUAN DE DIOS CONDOMINIO BAVARIA CASA 15 CND-BAVARIA-CASA-15 ARGENTINA</t>
  </si>
  <si>
    <t>22842987</t>
  </si>
  <si>
    <t>BENEGAS AMADOR AMADOR JAIME</t>
  </si>
  <si>
    <t>PNTDO REINO DE QUITO CALLE LOS CRIOLLOS 810 Y VICENTE ANGOS PNTDO REINO DE QUITO CALLE LOS CRIOLLOS</t>
  </si>
  <si>
    <t>22842950</t>
  </si>
  <si>
    <t>PTDO REINO DE QUITO CALLE EL TRIUNFO 902 Y DANIEL PROANIO PROANIO</t>
  </si>
  <si>
    <t>22837046</t>
  </si>
  <si>
    <t>BANEGAS QUITO CARMEN BEATRIZ</t>
  </si>
  <si>
    <t>ENRIQUE TABARA 0Y Y GABRIEL GARCIA MORENO CONJ. RINCONADA DEL SOL 1 CASA 25</t>
  </si>
  <si>
    <t>22830099</t>
  </si>
  <si>
    <t>CARLOS BENJAMIN EGAS PROA�O</t>
  </si>
  <si>
    <t>LLANO CHICO 0 Y AV CIRCUNVALACION</t>
  </si>
  <si>
    <t>22826285</t>
  </si>
  <si>
    <t>ARCINIEGAS PAILLACHO SANDRO ROVIRO</t>
  </si>
  <si>
    <t>SILICIA OE4 547 Y NAPOLES</t>
  </si>
  <si>
    <t>22823334</t>
  </si>
  <si>
    <t>BLANCA ROSALIA QUILLIGANA VILLEGAS</t>
  </si>
  <si>
    <t>CALDERON CALLE ULPIANO BECERRA LOTE 39 BARRIO EL CLAVEL</t>
  </si>
  <si>
    <t>22820946</t>
  </si>
  <si>
    <t>BAEZ EGAS LUIS MARCELO</t>
  </si>
  <si>
    <t>CARLOS MANTILLA 38 Y SEVILLA CONJUNTO PORTAL DE SAN JOSE II SAN JOSE DE MORAN CJTO. PORTAL-DE SAN JOSE II-SAN JOSE-DE MORAN CARLOS MANTILLA</t>
  </si>
  <si>
    <t>22814655</t>
  </si>
  <si>
    <t>AGUIRRE EGAS RODRIGO ERNESTO</t>
  </si>
  <si>
    <t>CAP RAFAEL RAMOS 928 ANDRADE MARIN P2 D55A</t>
  </si>
  <si>
    <t>22811203</t>
  </si>
  <si>
    <t>CAJAS BANEGAS CINTHYA BELEN</t>
  </si>
  <si>
    <t>DE LOS FLORIPONDIOS N57 78 Y LEONARDO MURIALDO DE LOS FLORIPONDIOS N57</t>
  </si>
  <si>
    <t>22804952</t>
  </si>
  <si>
    <t>ARELLANO EGAS MARTHA CECILIA</t>
  </si>
  <si>
    <t>CLN CALLE JUAN GOMEZ OE/261 Y FRANCISCO BURGUENO</t>
  </si>
  <si>
    <t>22802733</t>
  </si>
  <si>
    <t>BANEGAS BURI MARIA LIDVINA</t>
  </si>
  <si>
    <t>CARCELEN BAJO PASAJE 26 MANZANA H LT522 Y PERIMETRAL</t>
  </si>
  <si>
    <t>22787490</t>
  </si>
  <si>
    <t>ARIOPAJAS VILLEGAS LUIS ENRIQUE</t>
  </si>
  <si>
    <t>ALANGASI UNION BARRIAL DEL SUR CALLE S/N LOTE 59</t>
  </si>
  <si>
    <t>ALANGASI</t>
  </si>
  <si>
    <t>22775355</t>
  </si>
  <si>
    <t>CAJAS EGAS ROSARIO DE LAS MERCEDES</t>
  </si>
  <si>
    <t>PUELLARO CALLE LA MERCED</t>
  </si>
  <si>
    <t>PUELLARO</t>
  </si>
  <si>
    <t>22773185</t>
  </si>
  <si>
    <t>ALVAREZ VILLEGAS JOSE JAVIER</t>
  </si>
  <si>
    <t>AMAZONAS 0 Y JORGE MOSQUERA AMAZONAS</t>
  </si>
  <si>
    <t>VALLE HERMOSO</t>
  </si>
  <si>
    <t>22773003</t>
  </si>
  <si>
    <t>ALVAREZ VILLEGAS GLORIA PATRICIA</t>
  </si>
  <si>
    <t>EL ORO 401 Y AMAZONAS EL ORO</t>
  </si>
  <si>
    <t>22766374</t>
  </si>
  <si>
    <t>CADENA VILLEGAS MARTHA ISABEL</t>
  </si>
  <si>
    <t>AV RIO TIPUTINI 0 Y PEDRO VICENTE MALDONADO MARISCAL SUCRE</t>
  </si>
  <si>
    <t>22711399</t>
  </si>
  <si>
    <t>ALFONSO OSWALDO BANEGAS BELTRAN</t>
  </si>
  <si>
    <t>AV CHONE 0L Y VICENTE ROCAFUERTE</t>
  </si>
  <si>
    <t>22711393</t>
  </si>
  <si>
    <t>22685214</t>
  </si>
  <si>
    <t>CALERO VENEGAS JANNIO PAUL</t>
  </si>
  <si>
    <t>AV SOLANDA 11L Y JOSE MARIA ALEMAN S/N COOP VERGEL COOP VERGEL</t>
  </si>
  <si>
    <t>22681612</t>
  </si>
  <si>
    <t>BALSECA EGAS LUCIA MARGARITA</t>
  </si>
  <si>
    <t>AVENIDA SOLANDA OE4- 432 CASAAMARILLO 2 PISOS CASA-AMARILLO 2 PISOS---- PLAN SOLANDA SECTOR 1 FRENTE A MALLAS DE LA CANCHAS DEPORTIV</t>
  </si>
  <si>
    <t>22680917</t>
  </si>
  <si>
    <t>BANEGAS SANCHEZ MARIA ELENA</t>
  </si>
  <si>
    <t>GJLO SOLANDA SECTOR 2 SPMZ 3 MANZANA O CASA 1 Y PASAJE 18</t>
  </si>
  <si>
    <t>22679760</t>
  </si>
  <si>
    <t>BENEGAS CORREA BENILDE DONILFERA</t>
  </si>
  <si>
    <t>MANZANA 5 0 Y LOTE 111 Y AV TURUBAM BA BARRIO AYMESA . 111 Y AV TURUBAM-BA-BARRIO AYMESA-.</t>
  </si>
  <si>
    <t>22671388</t>
  </si>
  <si>
    <t>GUALE E5 E5 105 SARAGURO CasaDE SIN MEDIA AGUA CASA-DE SIN MEDIA AGUA---- FRENTE UNA CASA DE 3 PISOS DE LADRILLO DE VENTANAS GRANDES</t>
  </si>
  <si>
    <t>22665590</t>
  </si>
  <si>
    <t>ANALUCA VILLEGAS CARMEN AMELIA</t>
  </si>
  <si>
    <t>LA FORESTAL CHARLES LEE 468 Y ACCION CIVICA LA FORESTAL CHARLES LEE</t>
  </si>
  <si>
    <t>22661397</t>
  </si>
  <si>
    <t>ASTUDILLO BANEGAS MARIA TERESA</t>
  </si>
  <si>
    <t>MORONA S9 417 Y CARANQUI ----- MORONA</t>
  </si>
  <si>
    <t>22659467</t>
  </si>
  <si>
    <t>ASTUDILLO BANEGAS ILDA MARIA</t>
  </si>
  <si>
    <t>COOPERATIVA 8 DE NOVIEMBRE CALLE MORONA LOTE 65 Y JAUJA</t>
  </si>
  <si>
    <t>22650593</t>
  </si>
  <si>
    <t>LA MAGDALENA MORONA 176 ENTRE JAUJA Y CARANQUI</t>
  </si>
  <si>
    <t>22634238</t>
  </si>
  <si>
    <t>CARLOS MANUEL VILLEGAS PILLAJO</t>
  </si>
  <si>
    <t>PALMA REAL OE9 290Y Y RIO CRISTAL COMBATIENTES 41</t>
  </si>
  <si>
    <t>22632905</t>
  </si>
  <si>
    <t>ALMEIDA EGAS LUIS TELESFORO</t>
  </si>
  <si>
    <t>PTDO CIUDADELA TARTQUI CALLE SEGOVIA 135 Y GINES FERNANDEZ</t>
  </si>
  <si>
    <t>22631963</t>
  </si>
  <si>
    <t>BRAVO VANEGAS MONICA DEL ROCIO</t>
  </si>
  <si>
    <t>PTDO SANTA INES DE CHILLOGALLO CALLE A LOTE 113</t>
  </si>
  <si>
    <t>22624827</t>
  </si>
  <si>
    <t>ALOMOTO VENEGAS GONZALO</t>
  </si>
  <si>
    <t>MULALILLO S22- 186 Y CHUMUNDE</t>
  </si>
  <si>
    <t>22621911</t>
  </si>
  <si>
    <t>ANDRADE BANEGAS BLANCA CLEMENCIA</t>
  </si>
  <si>
    <t>QUITO SUR AMADOR CAZARRUBIA MANZANA E C 59</t>
  </si>
  <si>
    <t>22611466</t>
  </si>
  <si>
    <t>CARDENAS VILLEGAS CRISTOBAL SALOMON</t>
  </si>
  <si>
    <t>URBANIZACION JIJON SANCHEZ CALLE JOSE AZCASUBI 322</t>
  </si>
  <si>
    <t>22603763</t>
  </si>
  <si>
    <t>BANEGAS RIVAS JULIO CESAR</t>
  </si>
  <si>
    <t>CALLE E21- 0 Y S2H S2 E INTERSECCION E-26</t>
  </si>
  <si>
    <t>22602424</t>
  </si>
  <si>
    <t>BARREZUETA ARCINIEGAS CARMEN SOLEDAD</t>
  </si>
  <si>
    <t>CALLE L S5- 68 CALLE A Casa2 PISO CasaBLANCO CASA-2 PISO-CASA-BLANCO-- COOP OBRERO INDEPENDIENTE LOMA DE PUENGASI A 5 CASAS DE LA IGLESIA DE LOS TESTIGOS DE GEOVA</t>
  </si>
  <si>
    <t>22597913</t>
  </si>
  <si>
    <t>BETTY RAQUEL HIDALGO VENEGAS</t>
  </si>
  <si>
    <t>JOSE MARIA GUERRERO LT 0 Y FLAVIO ALFARO EDIF VILLATUNA</t>
  </si>
  <si>
    <t>22596859</t>
  </si>
  <si>
    <t>REAL AUDIENCIA LOS CEDROS CASA 20 Y REAL AUDIENCIA</t>
  </si>
  <si>
    <t>22595452</t>
  </si>
  <si>
    <t>BARREZUETA ARCINIEGAS TERESA CECILIA</t>
  </si>
  <si>
    <t>URBANIZACION SAN CARLOS BL MORONA DEPARTAMENTO 501</t>
  </si>
  <si>
    <t>22595241</t>
  </si>
  <si>
    <t>ALFONSO AMADOR VILLEGAS FERNANDEZ</t>
  </si>
  <si>
    <t>AVENIDA JOHN F KENNEDY 156 Y CHIRIBOGA AVENIDA JOHN F KENNEDY</t>
  </si>
  <si>
    <t>22582010</t>
  </si>
  <si>
    <t>BOADA VILLEGAS MARIA MAGDALENA</t>
  </si>
  <si>
    <t>QC CIUDADELA EUGENIO ESPEJO CALLE ANDRES PAREDES N5/44</t>
  </si>
  <si>
    <t>22573505</t>
  </si>
  <si>
    <t>ARCINIEGAS BENAVIDES IRENE BEATRIZ</t>
  </si>
  <si>
    <t>OLMEDO 0 OE7-27 Y COTOPAXI OE7-27 Y-COTOPAXI OLMEDO 0</t>
  </si>
  <si>
    <t>22544323</t>
  </si>
  <si>
    <t>BUENDIA VENEGAS LUIS XAVIER</t>
  </si>
  <si>
    <t>AV DE LOS SHYRIS N32 14 Y AV 6 DE DICIEMBRE EDF TORRE NOVA 6TO PISO DPTO 6B</t>
  </si>
  <si>
    <t>22544026</t>
  </si>
  <si>
    <t>AGUILAR VENEGAS LORENA PAOLA</t>
  </si>
  <si>
    <t>VERSALLES N17 190 Y ASUNCION SECTOR AMERICA SECTOR-AMERICA VERSALLES N17</t>
  </si>
  <si>
    <t>22537977</t>
  </si>
  <si>
    <t>BAEZ EGAS MANUEL RAMIRO</t>
  </si>
  <si>
    <t>GNRAL JOSE M GUERRERO 1504 JUAN GARZON</t>
  </si>
  <si>
    <t>22536156</t>
  </si>
  <si>
    <t>AIDA RAQUEL ARCINIEGAS RODRIGUEZ</t>
  </si>
  <si>
    <t>SARAGURO 160 Y AVENIDA DEL MAESTRO SARAGURO</t>
  </si>
  <si>
    <t>22535563</t>
  </si>
  <si>
    <t>BAEZ EGAS ANGEL MARCELO</t>
  </si>
  <si>
    <t>GENERAL GUERRERO 1458 Y JUAN GARZON GENERAL GUERRERO</t>
  </si>
  <si>
    <t>22531818</t>
  </si>
  <si>
    <t>CARDENAS VILLEGAS MANUEL MARIA</t>
  </si>
  <si>
    <t>SAN CARLOS BLOQUE PUEMBO DEPARTAMENTO 302 AP3</t>
  </si>
  <si>
    <t>22530181</t>
  </si>
  <si>
    <t>ARMAS VENEGAS CESAR</t>
  </si>
  <si>
    <t>URBANIZACION ASTURIAS C 31 FRANCISCO PACHECO SN Y JUAN GAR</t>
  </si>
  <si>
    <t>22529142</t>
  </si>
  <si>
    <t>ALMEIDA EGAS JORGE IVAN</t>
  </si>
  <si>
    <t>ARMERO OE6- 12 Y PASAJE BONIFAZ N20-</t>
  </si>
  <si>
    <t>22528036</t>
  </si>
  <si>
    <t>BECERRA EGAS MARIA ELOINA JOSEFINA</t>
  </si>
  <si>
    <t>LUIS FELIPE BORJA N15 62 Y VICTOR EMILIO ESTRADA SECTOR SANTA PRISCA BARRIO EL BELEN SECTOR SANTA-PRISCA-BARRIO EL-BELEN LUIS FELIPE BORJA N15</t>
  </si>
  <si>
    <t>22527527</t>
  </si>
  <si>
    <t>AIDA MERCEDES GALLO EGAS</t>
  </si>
  <si>
    <t>LAS CASAS 919</t>
  </si>
  <si>
    <t>22522506</t>
  </si>
  <si>
    <t>AVENIDA ORELLANA E11 28 Y AVENIDA LA CORU�A ----- AVENIDA ORELLANA E11</t>
  </si>
  <si>
    <t>22520607</t>
  </si>
  <si>
    <t>ARMERO 1586</t>
  </si>
  <si>
    <t>22507098</t>
  </si>
  <si>
    <t>MARISCAL LA CAROLINA PABLO ARTURO SUAREZ E6 35 Y ELOY ALFARO MARISCAL LA CAROLINA PABLO ARTURO SUAREZ E6</t>
  </si>
  <si>
    <t>22491584</t>
  </si>
  <si>
    <t>ALFONSO DEL HIERRO LT82 ISABEL DEL HIERRO URBANIZACION 23 DE JUNIO C B URB 23 DE JUNIO</t>
  </si>
  <si>
    <t>22491174</t>
  </si>
  <si>
    <t>ARTURO EGAS SAMANIEGO JOFFRE</t>
  </si>
  <si>
    <t>CONDOMINIO URBANIZACION CLUB EL CONDADO AVENIDA A LOTE 766 Y CALLE F</t>
  </si>
  <si>
    <t>22485460</t>
  </si>
  <si>
    <t>MARIANO SUAREZ VEINTIMILLA 0 LOTE 26-B S/N SECTOR CARCELEN LOTE 26-B-S/N-SECTOR-CARCELEN</t>
  </si>
  <si>
    <t>22484024</t>
  </si>
  <si>
    <t>CARLOS ANIBAL VENEGAS GOMEZ</t>
  </si>
  <si>
    <t>CRLN CONJUNTO HABITACIONAL ANANSAYAS CASA 5 VIVENTE DUQUE Y MANUEL NAJAS</t>
  </si>
  <si>
    <t>22481526</t>
  </si>
  <si>
    <t>PASAJE D N62- 75 DE LOS EUCALIPTOS URBANIZACIONSAN EDUARDO CASAPORTON NEGRO URB-SAN EDUARDO-CASA-PORTON NEGRO-- BRR EL COLEGIO SECTOR PARQUE DEL RECUERDOS A 1 CUADRA DEL T</t>
  </si>
  <si>
    <t>22473896</t>
  </si>
  <si>
    <t>ARCINIEGAS SALAZAR BETTY</t>
  </si>
  <si>
    <t>JUAN BARREZUETA N77 603 Y ANTONIO NU�EZ</t>
  </si>
  <si>
    <t>22470406</t>
  </si>
  <si>
    <t>CARCELEN SMZ H MANZANA 7 C 1</t>
  </si>
  <si>
    <t>22467524</t>
  </si>
  <si>
    <t>BAQUERO EGAS FAUSTO ADRIANO</t>
  </si>
  <si>
    <t>UNION NACIONAL CALLE ISIDRO OTERO 25 PB DEPARTAMENTO 1</t>
  </si>
  <si>
    <t>22459295</t>
  </si>
  <si>
    <t>BONILLA VENEGAS FELIX VLADIMIR</t>
  </si>
  <si>
    <t>FRANCISCO MONTALVO 0 Y AVENIDA OCCIDENTAL CONJUNTO SANTA MARIA DEL BOSQUE TORRE 1 2DO PISO DEPARTAMENTO 203-B CONJUNTO SANTA-MARIA DEL BOSQUE-TORRE #1 2DO-PISO DEPTO 203-B FRANCISCO MONTALVO</t>
  </si>
  <si>
    <t>22448606</t>
  </si>
  <si>
    <t>AVILES EGAS ELIANA GUADALUPE</t>
  </si>
  <si>
    <t>EL BATAN THOMAS DE BERMUR LOTE 24</t>
  </si>
  <si>
    <t>22444145</t>
  </si>
  <si>
    <t>ANA PATRICIA VASCONEZ VILLEGAS</t>
  </si>
  <si>
    <t>ALTAR 566 Y FELIX VALDIVIEZO ESQUINA CALLE ALTAR ESQUINA CALLE ALTAR FELIX VALDIVIEZO</t>
  </si>
  <si>
    <t>22442316</t>
  </si>
  <si>
    <t>INGAPIRCA OE6- 177 ZAPAROS CasaCREMA Y VERDE 2 PISOS CASA-CREMA Y VERDE 2 PISOS---- SECTOR NORTE BARRIO LA FLORIDA A UNA CUADRA AL PARQUE</t>
  </si>
  <si>
    <t>22435769</t>
  </si>
  <si>
    <t>APOLO ARCINIEGAS BENIGNO RAMON</t>
  </si>
  <si>
    <t>URBANIZACION LA GRANJA ACCESO 23 DEPARTAMENTO 41</t>
  </si>
  <si>
    <t>22434938</t>
  </si>
  <si>
    <t>AGUILAR VENEGAS MIRTHA LILIANA</t>
  </si>
  <si>
    <t>ABASCAL 623 Y G DE VILLAROEL ABASCAL</t>
  </si>
  <si>
    <t>22433544</t>
  </si>
  <si>
    <t>BELLA AURORA N46- 243 Y Y MONTALVO</t>
  </si>
  <si>
    <t>22409431</t>
  </si>
  <si>
    <t>AUGUSTA ALEXANDRA EGAS GOMEZ</t>
  </si>
  <si>
    <t>PORFIRIO ROMERO OE3 86 Y RAFAEL AULESTIA</t>
  </si>
  <si>
    <t>22409360</t>
  </si>
  <si>
    <t>BERNARDA DEL ROSARIO PROA�O EGAS</t>
  </si>
  <si>
    <t>VICTOR MIDEROS 859 PB</t>
  </si>
  <si>
    <t>22407783</t>
  </si>
  <si>
    <t>CARRION ARCINIEGAS AMERICA LUCIA</t>
  </si>
  <si>
    <t>FRANCISCO GUARDERAS 0 Y CAPITAN RAFAEL RAMOS URB LA LUZ P2 M1</t>
  </si>
  <si>
    <t>22406974</t>
  </si>
  <si>
    <t>ARCINIEGAS CALDERON NESTOR GERMAN</t>
  </si>
  <si>
    <t>URBANIZACION LA LUZ CALLE FRANCISCO SALGADO 562</t>
  </si>
  <si>
    <t>22405990</t>
  </si>
  <si>
    <t>ANDRADE VILLEGAS VICTOR RAFAEL</t>
  </si>
  <si>
    <t>PASAJE A E8- 32 Y RUDECINDO LESAMA</t>
  </si>
  <si>
    <t>22401580</t>
  </si>
  <si>
    <t>PEDRO GUERRERO E15 132 Y FRAY LEONARDO MURIALDO CONJUNTO HAB EL CISNE CASA 2B BARRIO 6 DE JUNIO PEDRO GUERRERO E15</t>
  </si>
  <si>
    <t>22396303</t>
  </si>
  <si>
    <t>ARMAS VENEGAS LAURA ALICIA</t>
  </si>
  <si>
    <t>SAN FRANCISCO DE LA PITA E1- 384 Y CALLE E 1T</t>
  </si>
  <si>
    <t>22386244</t>
  </si>
  <si>
    <t>CAPELO VENEGAS GERMANIA TATIANA</t>
  </si>
  <si>
    <t>Y CALLE CARRETERA VIA A LA MERCED 2 Y Y CALLE F</t>
  </si>
  <si>
    <t>LAS GOLONDRINAS</t>
  </si>
  <si>
    <t>22375629</t>
  </si>
  <si>
    <t>BALSECA EGAS ANDRE SEBASTIAN</t>
  </si>
  <si>
    <t>TUMBACO CALLE A LOTE 36 Y PASAJE GONZALEZ</t>
  </si>
  <si>
    <t>TUMBACO</t>
  </si>
  <si>
    <t>22374292</t>
  </si>
  <si>
    <t>AGUINAGA EGAS CARLOTA FRANCISCA</t>
  </si>
  <si>
    <t>TUMBACO BARRIO RUMIHUAICO CALLE ORTEGA CASA 300</t>
  </si>
  <si>
    <t>22373463</t>
  </si>
  <si>
    <t>ARCINIEGAS RODRIGUEZ CARMEN DEL ROCIO</t>
  </si>
  <si>
    <t>GONZALO PIZARRO 108 Y GUAYAQUIL</t>
  </si>
  <si>
    <t>22363944</t>
  </si>
  <si>
    <t>CABEZAS EGAS CESAR OSWALDO</t>
  </si>
  <si>
    <t>VIVAR 0 Y TERAN CASA COLOR CREMA CASA COLOR CREMA</t>
  </si>
  <si>
    <t>CAYAMBE</t>
  </si>
  <si>
    <t>22354403</t>
  </si>
  <si>
    <t>CARRERA EGAS MARIANA DE JESUS</t>
  </si>
  <si>
    <t>AV. MANUEL CORDOVA GALARZA 0 Y GABRIEL</t>
  </si>
  <si>
    <t>22349422</t>
  </si>
  <si>
    <t>AGUILAR VENEGAS LUIS EDUARDO</t>
  </si>
  <si>
    <t>ROSARIO DE ALCAZAR 4L Y PASAJE B SECTOR LA MOYA ROSARIO DE ALCAZAR</t>
  </si>
  <si>
    <t>CONOCOTO</t>
  </si>
  <si>
    <t>22347398</t>
  </si>
  <si>
    <t>ANALUCA VILLEGAS ENRIQUE GERMAN</t>
  </si>
  <si>
    <t>CONOCOTO BARRIO SAN JUAN 351 Y PRIMERA TRANSVERSAL</t>
  </si>
  <si>
    <t>22338506</t>
  </si>
  <si>
    <t>SANGOLQUI LA COLINA CALLE LOJA LOTE 140</t>
  </si>
  <si>
    <t>22338329</t>
  </si>
  <si>
    <t>SAN RAFAEL URBANIZACION LA COLINA CALLE LOJA LOTE 140 Y CALLE BOLIVAR</t>
  </si>
  <si>
    <t>22334369</t>
  </si>
  <si>
    <t>ALEX MIJAIL VENEGAS ALVAREZ</t>
  </si>
  <si>
    <t>ROCINANTE 178 Y DE BARATARIA URBANIZACION MOLINOS DE VIENTO ROCINANTE</t>
  </si>
  <si>
    <t>22334306</t>
  </si>
  <si>
    <t>BRYAN DANIEL VILLEGAS VILLACIS</t>
  </si>
  <si>
    <t>SANGOLQUI 0Y Y SAN SEBASTIAN CLLE ROCAFUERTE 190ENTRE AV CALDERON Y JUAN GENARO JARAMILLO FRENTE A FERRETERIA MULTICOMERCIAL CLLE ROCAFUERTE 190ENTRE AV CALDERON Y JUAN GENARO JARAMILLO FRENTE A FERRETERIA MULTICOMERCIAL</t>
  </si>
  <si>
    <t>22315785</t>
  </si>
  <si>
    <t>AIDA JUDITH YANEZ VILLEGAS</t>
  </si>
  <si>
    <t>MACHACHI CAMINO LILONGO LOTE 7</t>
  </si>
  <si>
    <t>MACHACHI</t>
  </si>
  <si>
    <t>22295969</t>
  </si>
  <si>
    <t>ANDREA ESTEFANIA PAEZ EGAS</t>
  </si>
  <si>
    <t>CTLL CONJUNTO RECOLETA BL 1 DEPARTAMENTO 102</t>
  </si>
  <si>
    <t>22290373</t>
  </si>
  <si>
    <t>BAEZ EGAS SERGIO ENRIQUE</t>
  </si>
  <si>
    <t>JUAN GARZON OE5 122 Y GENERAL GUERRERO ESQUINA JUAN GARZON OE5</t>
  </si>
  <si>
    <t>22287050</t>
  </si>
  <si>
    <t>CARLOS AURELIO EGAS SEVILLA</t>
  </si>
  <si>
    <t>COTOPAXI 456 Y ORIENTE COTOPAXI</t>
  </si>
  <si>
    <t>22284076</t>
  </si>
  <si>
    <t>IMBABURA N6 30 Y OLMEDO IMBABURA</t>
  </si>
  <si>
    <t>22265618</t>
  </si>
  <si>
    <t>AULESTIA EGAS CARLOS MANUEL</t>
  </si>
  <si>
    <t>PASAJE EL NORTE 222 Y SHYRIS CAMBIO DE PRIMER PISO A TERCER PISO</t>
  </si>
  <si>
    <t>22265455</t>
  </si>
  <si>
    <t>22260601</t>
  </si>
  <si>
    <t>GUANGUILTAGUA 0 Y TOMAS BERMUR EDIFICIO PLAZA CHILE DEPARTAMENTO 3A E DEPARTAMENTO 3A</t>
  </si>
  <si>
    <t>22256503</t>
  </si>
  <si>
    <t>ARMAS VENEGAS MARIA CARMEN IRENE</t>
  </si>
  <si>
    <t>INQ EDIFICIO MONTE DORAL P3 DEPARTAMENTO 91 CALLE DEL BOSQUE 278 ENTRE CALLE J Y CALLE E</t>
  </si>
  <si>
    <t>22244733</t>
  </si>
  <si>
    <t>ANIBAL AUGUSTO ARROYO EGAS</t>
  </si>
  <si>
    <t>CIUDADELA JIPIJAPA CALLE ISLA SAN CRISTOBAL 342</t>
  </si>
  <si>
    <t>22224313</t>
  </si>
  <si>
    <t>BALSECA EGAS JORGE OSWALDO</t>
  </si>
  <si>
    <t>SANTA MARIA 710</t>
  </si>
  <si>
    <t>22194511</t>
  </si>
  <si>
    <t>CARRERA EGAS JOSE GABRIEL</t>
  </si>
  <si>
    <t>PACHACUTIK 0 Y PRINCESA TOA CONJUNTO LEVARSI 2 CASA 40 CONJUNTO-LEVARSI 2-CASA-40 PACHACUTIK</t>
  </si>
  <si>
    <t>22188088</t>
  </si>
  <si>
    <t>ALPAHUMA 0 CALLE 0 LOTE 944 Y PASAJE B CALLE 0 LOTE 944 Y PASAJE B</t>
  </si>
  <si>
    <t>22145031</t>
  </si>
  <si>
    <t>ARCINIEGAS AREVALO HUGO HERNAN</t>
  </si>
  <si>
    <t>VIA INTEROCEANICA K23 0 BARRIO SAN FRANCISCO BRR SAN-FRANCISCO TRAS LA GASOLINERA</t>
  </si>
  <si>
    <t>PIFO</t>
  </si>
  <si>
    <t>22123242</t>
  </si>
  <si>
    <t>ARCINIEGAS VILLAGOMEZ MIGUEL ANGEL</t>
  </si>
  <si>
    <t>PANAMERICANA 383 Y SAN JOSE DEL QUINCHE PANAMERICANA</t>
  </si>
  <si>
    <t>22108075</t>
  </si>
  <si>
    <t>CARLA ELIZABETH VILLEGAS ACOSTA</t>
  </si>
  <si>
    <t>JUAN MATHEW 0 Y AV INTEROCEANICA CJTO PORTAL VILLAVEGA DPTO 23 CJTO PORTAL-VILLAVEGA-DPTO-23</t>
  </si>
  <si>
    <t>22097140</t>
  </si>
  <si>
    <t>ARCINIEGAS MORAN AIDE AVELINA</t>
  </si>
  <si>
    <t>CONOCOTO 0 JOSE DEL ROSARIO LOTE 436 CALLE OE3C JOSE DEL ROSARIO-LOTE 436-CALLE-OE3C</t>
  </si>
  <si>
    <t>22081637</t>
  </si>
  <si>
    <t>BODEGAS LAS ACACIAS BODEGAS LAS ACACIAS</t>
  </si>
  <si>
    <t>SANGOLQUI 0 AV. MARIANA DE JESUS AV. MARIANA DE-JESUS Y CALLE A CJTO BOHIOS DE JATUMPAMBA GARITA</t>
  </si>
  <si>
    <t>22071288</t>
  </si>
  <si>
    <t>CONOCOTO 0 JOSE MARIA GUERRERO N10-660 FRANCISCO FARFAN SCRT LOS ARUPOS</t>
  </si>
  <si>
    <t>22070245</t>
  </si>
  <si>
    <t>GONZALES SUAREZ 4 Y ROSARIO DE ALCAZAR GONZALEZ SUAREZ</t>
  </si>
  <si>
    <t>22048221</t>
  </si>
  <si>
    <t>ACOSTA EGAS DOUGLAS HUMBERTO</t>
  </si>
  <si>
    <t>CALLE N7 313 Y CALLE OEO2 BARRIO LA MORITA II BARRIO-LA MORITA II CALLE</t>
  </si>
  <si>
    <t>22048212</t>
  </si>
  <si>
    <t>22047121</t>
  </si>
  <si>
    <t>BERTHA INES SUMBA BANEGAS</t>
  </si>
  <si>
    <t>NORBERTO SALAZAR 547E Y RIO CHONE</t>
  </si>
  <si>
    <t>22036379</t>
  </si>
  <si>
    <t>BANEGAS SUAREZ BYRON JAVIER</t>
  </si>
  <si>
    <t>PSJ MORALES 61Y Y MIGUEL MEDINA BRR ENTRADA AL APRADERA</t>
  </si>
  <si>
    <t>ROCAFUERTE (ESMERALDAS)</t>
  </si>
  <si>
    <t>22032485</t>
  </si>
  <si>
    <t>ALMEIDA EGAS JOSE DAVID</t>
  </si>
  <si>
    <t>AV CARLOS MANTILLA 0Y Y VICENTE ROCAFUERTE LAS ACACIAS</t>
  </si>
  <si>
    <t>22023172</t>
  </si>
  <si>
    <t>CARLOS RAYMUNDO VILLEGAS POZO</t>
  </si>
  <si>
    <t>CALIXTO MUZO S455 0 Y LLANO GRANDE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</si>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</sst>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10"/>
  <sheetViews>
    <sheetView tabSelected="1" workbookViewId="0">
      <selection activeCell="D42" activeCellId="1" sqref="D42 D42"/>
    </sheetView>
  </sheetViews>
  <sheetFormatPr baseColWidth="10" defaultColWidth="245.710937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301</v>
      </c>
      <c r="B2" s="5" t="s">
        <v>302</v>
      </c>
      <c r="C2" s="5" t="s">
        <v>303</v>
      </c>
      <c r="D2" s="5" t="s">
        <v>304</v>
      </c>
      <c r="E2" s="1">
        <f>COUNTA(D2:D1000)</f>
        <v>200</v>
      </c>
    </row>
    <row r="3" spans="1:5" x14ac:dyDescent="0.25">
      <c r="A3" s="5" t="s">
        <v>305</v>
      </c>
      <c r="B3" s="5" t="s">
        <v>306</v>
      </c>
      <c r="C3" s="5" t="s">
        <v>307</v>
      </c>
      <c r="D3" s="5" t="s">
        <v>304</v>
      </c>
      <c r="E3" s="1">
        <f>COUNTIF(D2:D1000,"Localidad")</f>
        <v>0</v>
      </c>
    </row>
    <row r="4" spans="1:5" x14ac:dyDescent="0.25">
      <c r="A4" s="5" t="s">
        <v>480</v>
      </c>
      <c r="B4" s="5" t="s">
        <v>481</v>
      </c>
      <c r="C4" s="5" t="s">
        <v>482</v>
      </c>
      <c r="D4" s="5" t="s">
        <v>483</v>
      </c>
      <c r="E4" s="1">
        <f>COUNTIF(D2:D1000,":: DATOS TELEFONICOS ::")</f>
        <v>0</v>
      </c>
    </row>
    <row r="5" spans="1:5" x14ac:dyDescent="0.25">
      <c r="A5" s="5" t="s">
        <v>484</v>
      </c>
      <c r="B5" s="5" t="s">
        <v>485</v>
      </c>
      <c r="C5" s="5" t="s">
        <v>486</v>
      </c>
      <c r="D5" s="5" t="s">
        <v>483</v>
      </c>
      <c r="E5" s="1">
        <f>COUNTIF(D2:D1000,":: No hay teléfonos con estos datos ::")</f>
        <v>0</v>
      </c>
    </row>
    <row r="6" spans="1:5" x14ac:dyDescent="0.25">
      <c r="A6" s="5" t="s">
        <v>487</v>
      </c>
      <c r="B6" s="5" t="s">
        <v>488</v>
      </c>
      <c r="C6" s="5" t="s">
        <v>489</v>
      </c>
      <c r="D6" s="5" t="s">
        <v>483</v>
      </c>
      <c r="E6" s="1"/>
    </row>
    <row r="7" spans="1:5" x14ac:dyDescent="0.25">
      <c r="A7" s="5" t="s">
        <v>556</v>
      </c>
      <c r="B7" s="5" t="s">
        <v>557</v>
      </c>
      <c r="C7" s="5" t="s">
        <v>558</v>
      </c>
      <c r="D7" s="5" t="s">
        <v>483</v>
      </c>
      <c r="E7" s="1">
        <f>E2-E4-E5-E3</f>
        <v>200</v>
      </c>
    </row>
    <row r="8" spans="1:5" x14ac:dyDescent="0.25">
      <c r="A8" s="5" t="s">
        <v>569</v>
      </c>
      <c r="B8" s="5" t="s">
        <v>570</v>
      </c>
      <c r="C8" s="5" t="s">
        <v>571</v>
      </c>
      <c r="D8" s="5" t="s">
        <v>483</v>
      </c>
      <c r="E8" s="1" t="str">
        <f>IF(E7&lt;=1,"No existen contactos","Numero de contactos :"&amp;E7)</f>
        <v>Numero de contactos :200</v>
      </c>
    </row>
    <row r="9" spans="1:5" x14ac:dyDescent="0.25">
      <c r="A9" s="5" t="s">
        <v>572</v>
      </c>
      <c r="B9" s="5" t="s">
        <v>570</v>
      </c>
      <c r="C9" s="5" t="s">
        <v>571</v>
      </c>
      <c r="D9" s="5" t="s">
        <v>483</v>
      </c>
    </row>
    <row r="10" spans="1:5" x14ac:dyDescent="0.25">
      <c r="A10" s="5" t="s">
        <v>573</v>
      </c>
      <c r="B10" s="5" t="s">
        <v>574</v>
      </c>
      <c r="C10" s="5" t="s">
        <v>575</v>
      </c>
      <c r="D10" s="5" t="s">
        <v>483</v>
      </c>
    </row>
    <row r="11" spans="1:5" x14ac:dyDescent="0.25">
      <c r="A11" s="5" t="s">
        <v>229</v>
      </c>
      <c r="B11" s="5" t="s">
        <v>225</v>
      </c>
      <c r="C11" s="5" t="s">
        <v>230</v>
      </c>
      <c r="D11" s="5" t="s">
        <v>231</v>
      </c>
    </row>
    <row r="12" spans="1:5" x14ac:dyDescent="0.25">
      <c r="A12" s="5" t="s">
        <v>232</v>
      </c>
      <c r="B12" s="5" t="s">
        <v>233</v>
      </c>
      <c r="C12" s="5" t="s">
        <v>234</v>
      </c>
      <c r="D12" s="5" t="s">
        <v>231</v>
      </c>
    </row>
    <row r="13" spans="1:5" x14ac:dyDescent="0.25">
      <c r="A13" s="5" t="s">
        <v>235</v>
      </c>
      <c r="B13" s="5" t="s">
        <v>236</v>
      </c>
      <c r="C13" s="5" t="s">
        <v>237</v>
      </c>
      <c r="D13" s="5" t="s">
        <v>238</v>
      </c>
    </row>
    <row r="14" spans="1:5" x14ac:dyDescent="0.25">
      <c r="A14" s="5" t="s">
        <v>54</v>
      </c>
      <c r="B14" s="5" t="s">
        <v>55</v>
      </c>
      <c r="C14" s="5" t="s">
        <v>56</v>
      </c>
      <c r="D14" s="5" t="s">
        <v>57</v>
      </c>
    </row>
    <row r="15" spans="1:5" x14ac:dyDescent="0.25">
      <c r="A15" s="5" t="s">
        <v>92</v>
      </c>
      <c r="B15" s="5" t="s">
        <v>93</v>
      </c>
      <c r="C15" s="5" t="s">
        <v>94</v>
      </c>
      <c r="D15" s="5" t="s">
        <v>57</v>
      </c>
    </row>
    <row r="16" spans="1:5" x14ac:dyDescent="0.25">
      <c r="A16" s="5" t="s">
        <v>239</v>
      </c>
      <c r="B16" s="5" t="s">
        <v>240</v>
      </c>
      <c r="C16" s="5" t="s">
        <v>241</v>
      </c>
      <c r="D16" s="5" t="s">
        <v>57</v>
      </c>
    </row>
    <row r="17" spans="1:4" x14ac:dyDescent="0.25">
      <c r="A17" s="5" t="s">
        <v>508</v>
      </c>
      <c r="B17" s="5" t="s">
        <v>509</v>
      </c>
      <c r="C17" s="5" t="s">
        <v>510</v>
      </c>
      <c r="D17" s="5" t="s">
        <v>57</v>
      </c>
    </row>
    <row r="18" spans="1:4" x14ac:dyDescent="0.25">
      <c r="A18" s="5" t="s">
        <v>511</v>
      </c>
      <c r="B18" s="5" t="s">
        <v>512</v>
      </c>
      <c r="C18" s="5" t="s">
        <v>513</v>
      </c>
      <c r="D18" s="5" t="s">
        <v>57</v>
      </c>
    </row>
    <row r="19" spans="1:4" x14ac:dyDescent="0.25">
      <c r="A19" s="5" t="s">
        <v>562</v>
      </c>
      <c r="B19" s="5" t="s">
        <v>563</v>
      </c>
      <c r="C19" s="5" t="s">
        <v>564</v>
      </c>
      <c r="D19" s="5" t="s">
        <v>57</v>
      </c>
    </row>
    <row r="20" spans="1:4" x14ac:dyDescent="0.25">
      <c r="A20" s="5" t="s">
        <v>42</v>
      </c>
      <c r="B20" s="5" t="s">
        <v>43</v>
      </c>
      <c r="C20" s="5" t="s">
        <v>44</v>
      </c>
      <c r="D20" s="5" t="s">
        <v>45</v>
      </c>
    </row>
    <row r="21" spans="1:4" x14ac:dyDescent="0.25">
      <c r="A21" s="5" t="s">
        <v>242</v>
      </c>
      <c r="B21" s="5" t="s">
        <v>243</v>
      </c>
      <c r="C21" s="5" t="s">
        <v>244</v>
      </c>
      <c r="D21" s="5" t="s">
        <v>45</v>
      </c>
    </row>
    <row r="22" spans="1:4" x14ac:dyDescent="0.25">
      <c r="A22" s="5" t="s">
        <v>245</v>
      </c>
      <c r="B22" s="5" t="s">
        <v>246</v>
      </c>
      <c r="C22" s="5" t="s">
        <v>247</v>
      </c>
      <c r="D22" s="5" t="s">
        <v>45</v>
      </c>
    </row>
    <row r="23" spans="1:4" x14ac:dyDescent="0.25">
      <c r="A23" s="5" t="s">
        <v>248</v>
      </c>
      <c r="B23" s="5" t="s">
        <v>249</v>
      </c>
      <c r="C23" s="5" t="s">
        <v>250</v>
      </c>
      <c r="D23" s="5" t="s">
        <v>45</v>
      </c>
    </row>
    <row r="24" spans="1:4" x14ac:dyDescent="0.25">
      <c r="A24" s="5" t="s">
        <v>251</v>
      </c>
      <c r="B24" s="5" t="s">
        <v>252</v>
      </c>
      <c r="C24" s="5" t="s">
        <v>253</v>
      </c>
      <c r="D24" s="5" t="s">
        <v>45</v>
      </c>
    </row>
    <row r="25" spans="1:4" x14ac:dyDescent="0.25">
      <c r="A25" s="5" t="s">
        <v>254</v>
      </c>
      <c r="B25" s="5" t="s">
        <v>255</v>
      </c>
      <c r="C25" s="5" t="s">
        <v>256</v>
      </c>
      <c r="D25" s="5" t="s">
        <v>45</v>
      </c>
    </row>
    <row r="26" spans="1:4" x14ac:dyDescent="0.25">
      <c r="A26" s="5" t="s">
        <v>257</v>
      </c>
      <c r="B26" s="5" t="s">
        <v>246</v>
      </c>
      <c r="C26" s="5" t="s">
        <v>258</v>
      </c>
      <c r="D26" s="5" t="s">
        <v>45</v>
      </c>
    </row>
    <row r="27" spans="1:4" x14ac:dyDescent="0.25">
      <c r="A27" s="5" t="s">
        <v>259</v>
      </c>
      <c r="B27" s="5" t="s">
        <v>43</v>
      </c>
      <c r="C27" s="5" t="s">
        <v>260</v>
      </c>
      <c r="D27" s="5" t="s">
        <v>45</v>
      </c>
    </row>
    <row r="28" spans="1:4" x14ac:dyDescent="0.25">
      <c r="A28" s="5" t="s">
        <v>504</v>
      </c>
      <c r="B28" s="5" t="s">
        <v>51</v>
      </c>
      <c r="C28" s="5" t="s">
        <v>505</v>
      </c>
      <c r="D28" s="5" t="s">
        <v>45</v>
      </c>
    </row>
    <row r="29" spans="1:4" x14ac:dyDescent="0.25">
      <c r="A29" s="5" t="s">
        <v>506</v>
      </c>
      <c r="B29" s="5" t="s">
        <v>51</v>
      </c>
      <c r="C29" s="5" t="s">
        <v>507</v>
      </c>
      <c r="D29" s="5" t="s">
        <v>45</v>
      </c>
    </row>
    <row r="30" spans="1:4" x14ac:dyDescent="0.25">
      <c r="A30" s="5" t="s">
        <v>123</v>
      </c>
      <c r="B30" s="5" t="s">
        <v>124</v>
      </c>
      <c r="C30" s="5" t="s">
        <v>125</v>
      </c>
      <c r="D30" s="5" t="s">
        <v>126</v>
      </c>
    </row>
    <row r="31" spans="1:4" x14ac:dyDescent="0.25">
      <c r="A31" s="5" t="s">
        <v>473</v>
      </c>
      <c r="B31" s="5" t="s">
        <v>474</v>
      </c>
      <c r="C31" s="5" t="s">
        <v>475</v>
      </c>
      <c r="D31" s="5" t="s">
        <v>126</v>
      </c>
    </row>
    <row r="32" spans="1:4" x14ac:dyDescent="0.25">
      <c r="A32" s="5" t="s">
        <v>576</v>
      </c>
      <c r="B32" s="5" t="s">
        <v>577</v>
      </c>
      <c r="C32" s="5" t="s">
        <v>578</v>
      </c>
      <c r="D32" s="5" t="s">
        <v>579</v>
      </c>
    </row>
    <row r="33" spans="1:4" x14ac:dyDescent="0.25">
      <c r="A33" s="5" t="s">
        <v>5</v>
      </c>
      <c r="B33" s="5" t="s">
        <v>6</v>
      </c>
      <c r="C33" s="5" t="s">
        <v>7</v>
      </c>
      <c r="D33" s="5" t="s">
        <v>8</v>
      </c>
    </row>
    <row r="34" spans="1:4" x14ac:dyDescent="0.25">
      <c r="A34" s="5" t="s">
        <v>9</v>
      </c>
      <c r="B34" s="5" t="s">
        <v>10</v>
      </c>
      <c r="C34" s="5" t="s">
        <v>11</v>
      </c>
      <c r="D34" s="5" t="s">
        <v>8</v>
      </c>
    </row>
    <row r="35" spans="1:4" x14ac:dyDescent="0.25">
      <c r="A35" s="5" t="s">
        <v>12</v>
      </c>
      <c r="B35" s="5" t="s">
        <v>13</v>
      </c>
      <c r="C35" s="5" t="s">
        <v>14</v>
      </c>
      <c r="D35" s="5" t="s">
        <v>8</v>
      </c>
    </row>
    <row r="36" spans="1:4" x14ac:dyDescent="0.25">
      <c r="A36" s="5" t="s">
        <v>19</v>
      </c>
      <c r="B36" s="5" t="s">
        <v>20</v>
      </c>
      <c r="C36" s="5" t="s">
        <v>21</v>
      </c>
      <c r="D36" s="5" t="s">
        <v>8</v>
      </c>
    </row>
    <row r="37" spans="1:4" x14ac:dyDescent="0.25">
      <c r="A37" s="5" t="s">
        <v>22</v>
      </c>
      <c r="B37" s="5" t="s">
        <v>23</v>
      </c>
      <c r="C37" s="5" t="s">
        <v>24</v>
      </c>
      <c r="D37" s="5" t="s">
        <v>8</v>
      </c>
    </row>
    <row r="38" spans="1:4" x14ac:dyDescent="0.25">
      <c r="A38" s="5" t="s">
        <v>25</v>
      </c>
      <c r="B38" s="5" t="s">
        <v>26</v>
      </c>
      <c r="C38" s="5" t="s">
        <v>27</v>
      </c>
      <c r="D38" s="5" t="s">
        <v>8</v>
      </c>
    </row>
    <row r="39" spans="1:4" x14ac:dyDescent="0.25">
      <c r="A39" s="5" t="s">
        <v>28</v>
      </c>
      <c r="B39" s="5" t="s">
        <v>29</v>
      </c>
      <c r="C39" s="5" t="s">
        <v>30</v>
      </c>
      <c r="D39" s="5" t="s">
        <v>8</v>
      </c>
    </row>
    <row r="40" spans="1:4" x14ac:dyDescent="0.25">
      <c r="A40" s="5" t="s">
        <v>31</v>
      </c>
      <c r="B40" s="5" t="s">
        <v>32</v>
      </c>
      <c r="C40" s="5" t="s">
        <v>33</v>
      </c>
      <c r="D40" s="5" t="s">
        <v>8</v>
      </c>
    </row>
    <row r="41" spans="1:4" x14ac:dyDescent="0.25">
      <c r="A41" s="5" t="s">
        <v>34</v>
      </c>
      <c r="B41" s="5" t="s">
        <v>35</v>
      </c>
      <c r="C41" s="5" t="s">
        <v>36</v>
      </c>
      <c r="D41" s="5" t="s">
        <v>8</v>
      </c>
    </row>
    <row r="42" spans="1:4" x14ac:dyDescent="0.25">
      <c r="A42" s="5" t="s">
        <v>37</v>
      </c>
      <c r="B42" s="5" t="s">
        <v>38</v>
      </c>
      <c r="C42" s="5" t="s">
        <v>39</v>
      </c>
      <c r="D42" s="5" t="s">
        <v>8</v>
      </c>
    </row>
    <row r="43" spans="1:4" x14ac:dyDescent="0.25">
      <c r="A43" s="5" t="s">
        <v>40</v>
      </c>
      <c r="B43" s="5" t="s">
        <v>16</v>
      </c>
      <c r="C43" s="5" t="s">
        <v>41</v>
      </c>
      <c r="D43" s="5" t="s">
        <v>8</v>
      </c>
    </row>
    <row r="44" spans="1:4" x14ac:dyDescent="0.25">
      <c r="A44" s="5" t="s">
        <v>58</v>
      </c>
      <c r="B44" s="5" t="s">
        <v>59</v>
      </c>
      <c r="C44" s="5" t="s">
        <v>60</v>
      </c>
      <c r="D44" s="5" t="s">
        <v>8</v>
      </c>
    </row>
    <row r="45" spans="1:4" x14ac:dyDescent="0.25">
      <c r="A45" s="5" t="s">
        <v>61</v>
      </c>
      <c r="B45" s="5" t="s">
        <v>16</v>
      </c>
      <c r="C45" s="5" t="s">
        <v>62</v>
      </c>
      <c r="D45" s="5" t="s">
        <v>8</v>
      </c>
    </row>
    <row r="46" spans="1:4" x14ac:dyDescent="0.25">
      <c r="A46" s="5" t="s">
        <v>63</v>
      </c>
      <c r="B46" s="5" t="s">
        <v>64</v>
      </c>
      <c r="C46" s="5" t="s">
        <v>65</v>
      </c>
      <c r="D46" s="5" t="s">
        <v>8</v>
      </c>
    </row>
    <row r="47" spans="1:4" x14ac:dyDescent="0.25">
      <c r="A47" s="5" t="s">
        <v>66</v>
      </c>
      <c r="B47" s="5" t="s">
        <v>67</v>
      </c>
      <c r="C47" s="5" t="s">
        <v>68</v>
      </c>
      <c r="D47" s="5" t="s">
        <v>8</v>
      </c>
    </row>
    <row r="48" spans="1:4" x14ac:dyDescent="0.25">
      <c r="A48" s="5" t="s">
        <v>86</v>
      </c>
      <c r="B48" s="5" t="s">
        <v>87</v>
      </c>
      <c r="C48" s="5" t="s">
        <v>88</v>
      </c>
      <c r="D48" s="5" t="s">
        <v>8</v>
      </c>
    </row>
    <row r="49" spans="1:4" x14ac:dyDescent="0.25">
      <c r="A49" s="5" t="s">
        <v>89</v>
      </c>
      <c r="B49" s="5" t="s">
        <v>90</v>
      </c>
      <c r="C49" s="5" t="s">
        <v>91</v>
      </c>
      <c r="D49" s="5" t="s">
        <v>8</v>
      </c>
    </row>
    <row r="50" spans="1:4" x14ac:dyDescent="0.25">
      <c r="A50" s="5" t="s">
        <v>95</v>
      </c>
      <c r="B50" s="5" t="s">
        <v>96</v>
      </c>
      <c r="C50" s="5" t="s">
        <v>97</v>
      </c>
      <c r="D50" s="5" t="s">
        <v>8</v>
      </c>
    </row>
    <row r="51" spans="1:4" x14ac:dyDescent="0.25">
      <c r="A51" s="5" t="s">
        <v>101</v>
      </c>
      <c r="B51" s="5" t="s">
        <v>102</v>
      </c>
      <c r="C51" s="5" t="s">
        <v>103</v>
      </c>
      <c r="D51" s="5" t="s">
        <v>8</v>
      </c>
    </row>
    <row r="52" spans="1:4" x14ac:dyDescent="0.25">
      <c r="A52" s="5" t="s">
        <v>117</v>
      </c>
      <c r="B52" s="5" t="s">
        <v>118</v>
      </c>
      <c r="C52" s="5" t="s">
        <v>119</v>
      </c>
      <c r="D52" s="5" t="s">
        <v>8</v>
      </c>
    </row>
    <row r="53" spans="1:4" x14ac:dyDescent="0.25">
      <c r="A53" s="5" t="s">
        <v>120</v>
      </c>
      <c r="B53" s="5" t="s">
        <v>121</v>
      </c>
      <c r="C53" s="5" t="s">
        <v>122</v>
      </c>
      <c r="D53" s="5" t="s">
        <v>8</v>
      </c>
    </row>
    <row r="54" spans="1:4" x14ac:dyDescent="0.25">
      <c r="A54" s="5" t="s">
        <v>131</v>
      </c>
      <c r="B54" s="5" t="s">
        <v>132</v>
      </c>
      <c r="C54" s="5" t="s">
        <v>133</v>
      </c>
      <c r="D54" s="5" t="s">
        <v>8</v>
      </c>
    </row>
    <row r="55" spans="1:4" x14ac:dyDescent="0.25">
      <c r="A55" s="5" t="s">
        <v>134</v>
      </c>
      <c r="B55" s="5" t="s">
        <v>135</v>
      </c>
      <c r="C55" s="5" t="s">
        <v>136</v>
      </c>
      <c r="D55" s="5" t="s">
        <v>8</v>
      </c>
    </row>
    <row r="56" spans="1:4" x14ac:dyDescent="0.25">
      <c r="A56" s="5" t="s">
        <v>137</v>
      </c>
      <c r="B56" s="5" t="s">
        <v>138</v>
      </c>
      <c r="C56" s="5" t="s">
        <v>139</v>
      </c>
      <c r="D56" s="5" t="s">
        <v>8</v>
      </c>
    </row>
    <row r="57" spans="1:4" x14ac:dyDescent="0.25">
      <c r="A57" s="5" t="s">
        <v>140</v>
      </c>
      <c r="B57" s="5" t="s">
        <v>141</v>
      </c>
      <c r="C57" s="5" t="s">
        <v>142</v>
      </c>
      <c r="D57" s="5" t="s">
        <v>8</v>
      </c>
    </row>
    <row r="58" spans="1:4" x14ac:dyDescent="0.25">
      <c r="A58" s="5" t="s">
        <v>143</v>
      </c>
      <c r="B58" s="5" t="s">
        <v>144</v>
      </c>
      <c r="C58" s="5" t="s">
        <v>145</v>
      </c>
      <c r="D58" s="5" t="s">
        <v>8</v>
      </c>
    </row>
    <row r="59" spans="1:4" x14ac:dyDescent="0.25">
      <c r="A59" s="5" t="s">
        <v>146</v>
      </c>
      <c r="B59" s="5" t="s">
        <v>147</v>
      </c>
      <c r="C59" s="5" t="s">
        <v>148</v>
      </c>
      <c r="D59" s="5" t="s">
        <v>8</v>
      </c>
    </row>
    <row r="60" spans="1:4" x14ac:dyDescent="0.25">
      <c r="A60" s="5" t="s">
        <v>149</v>
      </c>
      <c r="B60" s="5" t="s">
        <v>150</v>
      </c>
      <c r="C60" s="5" t="s">
        <v>151</v>
      </c>
      <c r="D60" s="5" t="s">
        <v>8</v>
      </c>
    </row>
    <row r="61" spans="1:4" x14ac:dyDescent="0.25">
      <c r="A61" s="5" t="s">
        <v>152</v>
      </c>
      <c r="B61" s="5" t="s">
        <v>153</v>
      </c>
      <c r="C61" s="5" t="s">
        <v>154</v>
      </c>
      <c r="D61" s="5" t="s">
        <v>8</v>
      </c>
    </row>
    <row r="62" spans="1:4" x14ac:dyDescent="0.25">
      <c r="A62" s="5" t="s">
        <v>155</v>
      </c>
      <c r="B62" s="5" t="s">
        <v>156</v>
      </c>
      <c r="C62" s="5" t="s">
        <v>157</v>
      </c>
      <c r="D62" s="5" t="s">
        <v>8</v>
      </c>
    </row>
    <row r="63" spans="1:4" x14ac:dyDescent="0.25">
      <c r="A63" s="5" t="s">
        <v>158</v>
      </c>
      <c r="B63" s="5" t="s">
        <v>159</v>
      </c>
      <c r="C63" s="5" t="s">
        <v>160</v>
      </c>
      <c r="D63" s="5" t="s">
        <v>8</v>
      </c>
    </row>
    <row r="64" spans="1:4" x14ac:dyDescent="0.25">
      <c r="A64" s="5" t="s">
        <v>161</v>
      </c>
      <c r="B64" s="5" t="s">
        <v>162</v>
      </c>
      <c r="C64" s="5" t="s">
        <v>163</v>
      </c>
      <c r="D64" s="5" t="s">
        <v>8</v>
      </c>
    </row>
    <row r="65" spans="1:4" x14ac:dyDescent="0.25">
      <c r="A65" s="5" t="s">
        <v>164</v>
      </c>
      <c r="B65" s="5" t="s">
        <v>165</v>
      </c>
      <c r="C65" s="5" t="s">
        <v>166</v>
      </c>
      <c r="D65" s="5" t="s">
        <v>8</v>
      </c>
    </row>
    <row r="66" spans="1:4" x14ac:dyDescent="0.25">
      <c r="A66" s="5" t="s">
        <v>167</v>
      </c>
      <c r="B66" s="5" t="s">
        <v>168</v>
      </c>
      <c r="C66" s="5" t="s">
        <v>169</v>
      </c>
      <c r="D66" s="5" t="s">
        <v>8</v>
      </c>
    </row>
    <row r="67" spans="1:4" x14ac:dyDescent="0.25">
      <c r="A67" s="5" t="s">
        <v>170</v>
      </c>
      <c r="B67" s="5" t="s">
        <v>171</v>
      </c>
      <c r="C67" s="5" t="s">
        <v>172</v>
      </c>
      <c r="D67" s="5" t="s">
        <v>8</v>
      </c>
    </row>
    <row r="68" spans="1:4" x14ac:dyDescent="0.25">
      <c r="A68" s="5" t="s">
        <v>173</v>
      </c>
      <c r="B68" s="5" t="s">
        <v>174</v>
      </c>
      <c r="C68" s="5" t="s">
        <v>175</v>
      </c>
      <c r="D68" s="5" t="s">
        <v>8</v>
      </c>
    </row>
    <row r="69" spans="1:4" x14ac:dyDescent="0.25">
      <c r="A69" s="5" t="s">
        <v>176</v>
      </c>
      <c r="B69" s="5" t="s">
        <v>177</v>
      </c>
      <c r="C69" s="5" t="s">
        <v>178</v>
      </c>
      <c r="D69" s="5" t="s">
        <v>8</v>
      </c>
    </row>
    <row r="70" spans="1:4" x14ac:dyDescent="0.25">
      <c r="A70" s="5" t="s">
        <v>179</v>
      </c>
      <c r="B70" s="5" t="s">
        <v>180</v>
      </c>
      <c r="C70" s="5" t="s">
        <v>181</v>
      </c>
      <c r="D70" s="5" t="s">
        <v>8</v>
      </c>
    </row>
    <row r="71" spans="1:4" x14ac:dyDescent="0.25">
      <c r="A71" s="5" t="s">
        <v>182</v>
      </c>
      <c r="B71" s="5" t="s">
        <v>183</v>
      </c>
      <c r="C71" s="5" t="s">
        <v>184</v>
      </c>
      <c r="D71" s="5" t="s">
        <v>8</v>
      </c>
    </row>
    <row r="72" spans="1:4" x14ac:dyDescent="0.25">
      <c r="A72" s="5" t="s">
        <v>185</v>
      </c>
      <c r="B72" s="5" t="s">
        <v>186</v>
      </c>
      <c r="C72" s="5" t="s">
        <v>187</v>
      </c>
      <c r="D72" s="5" t="s">
        <v>8</v>
      </c>
    </row>
    <row r="73" spans="1:4" x14ac:dyDescent="0.25">
      <c r="A73" s="5" t="s">
        <v>188</v>
      </c>
      <c r="B73" s="5" t="s">
        <v>189</v>
      </c>
      <c r="C73" s="5" t="s">
        <v>190</v>
      </c>
      <c r="D73" s="5" t="s">
        <v>8</v>
      </c>
    </row>
    <row r="74" spans="1:4" x14ac:dyDescent="0.25">
      <c r="A74" s="5" t="s">
        <v>191</v>
      </c>
      <c r="B74" s="5" t="s">
        <v>192</v>
      </c>
      <c r="C74" s="5" t="s">
        <v>193</v>
      </c>
      <c r="D74" s="5" t="s">
        <v>8</v>
      </c>
    </row>
    <row r="75" spans="1:4" x14ac:dyDescent="0.25">
      <c r="A75" s="5" t="s">
        <v>194</v>
      </c>
      <c r="B75" s="5" t="s">
        <v>195</v>
      </c>
      <c r="C75" s="5" t="s">
        <v>196</v>
      </c>
      <c r="D75" s="5" t="s">
        <v>8</v>
      </c>
    </row>
    <row r="76" spans="1:4" x14ac:dyDescent="0.25">
      <c r="A76" s="5" t="s">
        <v>197</v>
      </c>
      <c r="B76" s="5" t="s">
        <v>198</v>
      </c>
      <c r="C76" s="5" t="s">
        <v>199</v>
      </c>
      <c r="D76" s="5" t="s">
        <v>8</v>
      </c>
    </row>
    <row r="77" spans="1:4" x14ac:dyDescent="0.25">
      <c r="A77" s="5" t="s">
        <v>200</v>
      </c>
      <c r="B77" s="5" t="s">
        <v>201</v>
      </c>
      <c r="C77" s="5" t="s">
        <v>202</v>
      </c>
      <c r="D77" s="5" t="s">
        <v>8</v>
      </c>
    </row>
    <row r="78" spans="1:4" x14ac:dyDescent="0.25">
      <c r="A78" s="5" t="s">
        <v>203</v>
      </c>
      <c r="B78" s="5" t="s">
        <v>204</v>
      </c>
      <c r="C78" s="5" t="s">
        <v>205</v>
      </c>
      <c r="D78" s="5" t="s">
        <v>8</v>
      </c>
    </row>
    <row r="79" spans="1:4" x14ac:dyDescent="0.25">
      <c r="A79" s="5" t="s">
        <v>206</v>
      </c>
      <c r="B79" s="5" t="s">
        <v>207</v>
      </c>
      <c r="C79" s="5" t="s">
        <v>208</v>
      </c>
      <c r="D79" s="5" t="s">
        <v>8</v>
      </c>
    </row>
    <row r="80" spans="1:4" x14ac:dyDescent="0.25">
      <c r="A80" s="5" t="s">
        <v>209</v>
      </c>
      <c r="B80" s="5" t="s">
        <v>210</v>
      </c>
      <c r="C80" s="5" t="s">
        <v>211</v>
      </c>
      <c r="D80" s="5" t="s">
        <v>8</v>
      </c>
    </row>
    <row r="81" spans="1:4" x14ac:dyDescent="0.25">
      <c r="A81" s="5" t="s">
        <v>212</v>
      </c>
      <c r="B81" s="5" t="s">
        <v>213</v>
      </c>
      <c r="C81" s="5" t="s">
        <v>214</v>
      </c>
      <c r="D81" s="5" t="s">
        <v>8</v>
      </c>
    </row>
    <row r="82" spans="1:4" x14ac:dyDescent="0.25">
      <c r="A82" s="5" t="s">
        <v>215</v>
      </c>
      <c r="B82" s="5" t="s">
        <v>216</v>
      </c>
      <c r="C82" s="5" t="s">
        <v>217</v>
      </c>
      <c r="D82" s="5" t="s">
        <v>8</v>
      </c>
    </row>
    <row r="83" spans="1:4" x14ac:dyDescent="0.25">
      <c r="A83" s="5" t="s">
        <v>218</v>
      </c>
      <c r="B83" s="5" t="s">
        <v>219</v>
      </c>
      <c r="C83" s="5" t="s">
        <v>220</v>
      </c>
      <c r="D83" s="5" t="s">
        <v>8</v>
      </c>
    </row>
    <row r="84" spans="1:4" x14ac:dyDescent="0.25">
      <c r="A84" s="5" t="s">
        <v>221</v>
      </c>
      <c r="B84" s="5" t="s">
        <v>222</v>
      </c>
      <c r="C84" s="5" t="s">
        <v>223</v>
      </c>
      <c r="D84" s="5" t="s">
        <v>8</v>
      </c>
    </row>
    <row r="85" spans="1:4" x14ac:dyDescent="0.25">
      <c r="A85" s="5" t="s">
        <v>224</v>
      </c>
      <c r="B85" s="5" t="s">
        <v>225</v>
      </c>
      <c r="C85" s="5" t="s">
        <v>226</v>
      </c>
      <c r="D85" s="5" t="s">
        <v>8</v>
      </c>
    </row>
    <row r="86" spans="1:4" x14ac:dyDescent="0.25">
      <c r="A86" s="5" t="s">
        <v>227</v>
      </c>
      <c r="B86" s="5" t="s">
        <v>16</v>
      </c>
      <c r="C86" s="5" t="s">
        <v>228</v>
      </c>
      <c r="D86" s="5" t="s">
        <v>8</v>
      </c>
    </row>
    <row r="87" spans="1:4" x14ac:dyDescent="0.25">
      <c r="A87" s="5" t="s">
        <v>261</v>
      </c>
      <c r="B87" s="5" t="s">
        <v>262</v>
      </c>
      <c r="C87" s="5" t="s">
        <v>263</v>
      </c>
      <c r="D87" s="5" t="s">
        <v>8</v>
      </c>
    </row>
    <row r="88" spans="1:4" x14ac:dyDescent="0.25">
      <c r="A88" s="5" t="s">
        <v>264</v>
      </c>
      <c r="B88" s="5" t="s">
        <v>177</v>
      </c>
      <c r="C88" s="5" t="s">
        <v>265</v>
      </c>
      <c r="D88" s="5" t="s">
        <v>8</v>
      </c>
    </row>
    <row r="89" spans="1:4" x14ac:dyDescent="0.25">
      <c r="A89" s="5" t="s">
        <v>269</v>
      </c>
      <c r="B89" s="5" t="s">
        <v>270</v>
      </c>
      <c r="C89" s="5" t="s">
        <v>271</v>
      </c>
      <c r="D89" s="5" t="s">
        <v>8</v>
      </c>
    </row>
    <row r="90" spans="1:4" x14ac:dyDescent="0.25">
      <c r="A90" s="5" t="s">
        <v>281</v>
      </c>
      <c r="B90" s="5" t="s">
        <v>282</v>
      </c>
      <c r="C90" s="5" t="s">
        <v>283</v>
      </c>
      <c r="D90" s="5" t="s">
        <v>8</v>
      </c>
    </row>
    <row r="91" spans="1:4" x14ac:dyDescent="0.25">
      <c r="A91" s="5" t="s">
        <v>284</v>
      </c>
      <c r="B91" s="5" t="s">
        <v>285</v>
      </c>
      <c r="C91" s="5" t="s">
        <v>286</v>
      </c>
      <c r="D91" s="5" t="s">
        <v>8</v>
      </c>
    </row>
    <row r="92" spans="1:4" x14ac:dyDescent="0.25">
      <c r="A92" s="5" t="s">
        <v>287</v>
      </c>
      <c r="B92" s="5" t="s">
        <v>288</v>
      </c>
      <c r="C92" s="5" t="s">
        <v>289</v>
      </c>
      <c r="D92" s="5" t="s">
        <v>8</v>
      </c>
    </row>
    <row r="93" spans="1:4" x14ac:dyDescent="0.25">
      <c r="A93" s="5" t="s">
        <v>290</v>
      </c>
      <c r="B93" s="5" t="s">
        <v>291</v>
      </c>
      <c r="C93" s="5" t="s">
        <v>292</v>
      </c>
      <c r="D93" s="5" t="s">
        <v>8</v>
      </c>
    </row>
    <row r="94" spans="1:4" x14ac:dyDescent="0.25">
      <c r="A94" s="5" t="s">
        <v>315</v>
      </c>
      <c r="B94" s="5" t="s">
        <v>316</v>
      </c>
      <c r="C94" s="5" t="s">
        <v>317</v>
      </c>
      <c r="D94" s="5" t="s">
        <v>8</v>
      </c>
    </row>
    <row r="95" spans="1:4" x14ac:dyDescent="0.25">
      <c r="A95" s="5" t="s">
        <v>318</v>
      </c>
      <c r="B95" s="5" t="s">
        <v>319</v>
      </c>
      <c r="C95" s="5" t="s">
        <v>320</v>
      </c>
      <c r="D95" s="5" t="s">
        <v>8</v>
      </c>
    </row>
    <row r="96" spans="1:4" x14ac:dyDescent="0.25">
      <c r="A96" s="5" t="s">
        <v>321</v>
      </c>
      <c r="B96" s="5" t="s">
        <v>322</v>
      </c>
      <c r="C96" s="5" t="s">
        <v>323</v>
      </c>
      <c r="D96" s="5" t="s">
        <v>8</v>
      </c>
    </row>
    <row r="97" spans="1:4" x14ac:dyDescent="0.25">
      <c r="A97" s="5" t="s">
        <v>324</v>
      </c>
      <c r="B97" s="5" t="s">
        <v>325</v>
      </c>
      <c r="C97" s="5" t="s">
        <v>326</v>
      </c>
      <c r="D97" s="5" t="s">
        <v>8</v>
      </c>
    </row>
    <row r="98" spans="1:4" x14ac:dyDescent="0.25">
      <c r="A98" s="5" t="s">
        <v>327</v>
      </c>
      <c r="B98" s="5" t="s">
        <v>325</v>
      </c>
      <c r="C98" s="5" t="s">
        <v>328</v>
      </c>
      <c r="D98" s="5" t="s">
        <v>8</v>
      </c>
    </row>
    <row r="99" spans="1:4" x14ac:dyDescent="0.25">
      <c r="A99" s="5" t="s">
        <v>329</v>
      </c>
      <c r="B99" s="5" t="s">
        <v>330</v>
      </c>
      <c r="C99" s="5" t="s">
        <v>331</v>
      </c>
      <c r="D99" s="5" t="s">
        <v>8</v>
      </c>
    </row>
    <row r="100" spans="1:4" x14ac:dyDescent="0.25">
      <c r="A100" s="5" t="s">
        <v>332</v>
      </c>
      <c r="B100" s="5" t="s">
        <v>333</v>
      </c>
      <c r="C100" s="5" t="s">
        <v>334</v>
      </c>
      <c r="D100" s="5" t="s">
        <v>8</v>
      </c>
    </row>
    <row r="101" spans="1:4" x14ac:dyDescent="0.25">
      <c r="A101" s="5" t="s">
        <v>335</v>
      </c>
      <c r="B101" s="5" t="s">
        <v>336</v>
      </c>
      <c r="C101" s="5" t="s">
        <v>337</v>
      </c>
      <c r="D101" s="5" t="s">
        <v>8</v>
      </c>
    </row>
    <row r="102" spans="1:4" x14ac:dyDescent="0.25">
      <c r="A102" s="5" t="s">
        <v>338</v>
      </c>
      <c r="B102" s="5" t="s">
        <v>336</v>
      </c>
      <c r="C102" s="5" t="s">
        <v>339</v>
      </c>
      <c r="D102" s="5" t="s">
        <v>8</v>
      </c>
    </row>
    <row r="103" spans="1:4" x14ac:dyDescent="0.25">
      <c r="A103" s="5" t="s">
        <v>340</v>
      </c>
      <c r="B103" s="5" t="s">
        <v>341</v>
      </c>
      <c r="C103" s="5" t="s">
        <v>342</v>
      </c>
      <c r="D103" s="5" t="s">
        <v>8</v>
      </c>
    </row>
    <row r="104" spans="1:4" x14ac:dyDescent="0.25">
      <c r="A104" s="5" t="s">
        <v>343</v>
      </c>
      <c r="B104" s="5" t="s">
        <v>344</v>
      </c>
      <c r="C104" s="5" t="s">
        <v>345</v>
      </c>
      <c r="D104" s="5" t="s">
        <v>8</v>
      </c>
    </row>
    <row r="105" spans="1:4" x14ac:dyDescent="0.25">
      <c r="A105" s="5" t="s">
        <v>346</v>
      </c>
      <c r="B105" s="5" t="s">
        <v>347</v>
      </c>
      <c r="C105" s="5" t="s">
        <v>348</v>
      </c>
      <c r="D105" s="5" t="s">
        <v>8</v>
      </c>
    </row>
    <row r="106" spans="1:4" x14ac:dyDescent="0.25">
      <c r="A106" s="5" t="s">
        <v>349</v>
      </c>
      <c r="B106" s="5" t="s">
        <v>350</v>
      </c>
      <c r="C106" s="5" t="s">
        <v>351</v>
      </c>
      <c r="D106" s="5" t="s">
        <v>8</v>
      </c>
    </row>
    <row r="107" spans="1:4" x14ac:dyDescent="0.25">
      <c r="A107" s="5" t="s">
        <v>352</v>
      </c>
      <c r="B107" s="5" t="s">
        <v>353</v>
      </c>
      <c r="C107" s="5" t="s">
        <v>354</v>
      </c>
      <c r="D107" s="5" t="s">
        <v>8</v>
      </c>
    </row>
    <row r="108" spans="1:4" x14ac:dyDescent="0.25">
      <c r="A108" s="5" t="s">
        <v>355</v>
      </c>
      <c r="B108" s="5" t="s">
        <v>356</v>
      </c>
      <c r="C108" s="5" t="s">
        <v>357</v>
      </c>
      <c r="D108" s="5" t="s">
        <v>8</v>
      </c>
    </row>
    <row r="109" spans="1:4" x14ac:dyDescent="0.25">
      <c r="A109" s="5" t="s">
        <v>358</v>
      </c>
      <c r="B109" s="5" t="s">
        <v>359</v>
      </c>
      <c r="C109" s="5" t="s">
        <v>360</v>
      </c>
      <c r="D109" s="5" t="s">
        <v>8</v>
      </c>
    </row>
    <row r="110" spans="1:4" x14ac:dyDescent="0.25">
      <c r="A110" s="5" t="s">
        <v>361</v>
      </c>
      <c r="B110" s="5" t="s">
        <v>362</v>
      </c>
      <c r="C110" s="5" t="s">
        <v>363</v>
      </c>
      <c r="D110" s="5" t="s">
        <v>8</v>
      </c>
    </row>
    <row r="111" spans="1:4" x14ac:dyDescent="0.25">
      <c r="A111" s="5" t="s">
        <v>364</v>
      </c>
      <c r="B111" s="5" t="s">
        <v>365</v>
      </c>
      <c r="C111" s="5" t="s">
        <v>366</v>
      </c>
      <c r="D111" s="5" t="s">
        <v>8</v>
      </c>
    </row>
    <row r="112" spans="1:4" x14ac:dyDescent="0.25">
      <c r="A112" s="5" t="s">
        <v>367</v>
      </c>
      <c r="B112" s="5" t="s">
        <v>298</v>
      </c>
      <c r="C112" s="5" t="s">
        <v>368</v>
      </c>
      <c r="D112" s="5" t="s">
        <v>8</v>
      </c>
    </row>
    <row r="113" spans="1:4" x14ac:dyDescent="0.25">
      <c r="A113" s="5" t="s">
        <v>369</v>
      </c>
      <c r="B113" s="5" t="s">
        <v>370</v>
      </c>
      <c r="C113" s="5" t="s">
        <v>371</v>
      </c>
      <c r="D113" s="5" t="s">
        <v>8</v>
      </c>
    </row>
    <row r="114" spans="1:4" x14ac:dyDescent="0.25">
      <c r="A114" s="5" t="s">
        <v>372</v>
      </c>
      <c r="B114" s="5" t="s">
        <v>373</v>
      </c>
      <c r="C114" s="5" t="s">
        <v>374</v>
      </c>
      <c r="D114" s="5" t="s">
        <v>8</v>
      </c>
    </row>
    <row r="115" spans="1:4" x14ac:dyDescent="0.25">
      <c r="A115" s="5" t="s">
        <v>375</v>
      </c>
      <c r="B115" s="5" t="s">
        <v>376</v>
      </c>
      <c r="C115" s="5" t="s">
        <v>377</v>
      </c>
      <c r="D115" s="5" t="s">
        <v>8</v>
      </c>
    </row>
    <row r="116" spans="1:4" x14ac:dyDescent="0.25">
      <c r="A116" s="5" t="s">
        <v>378</v>
      </c>
      <c r="B116" s="5" t="s">
        <v>379</v>
      </c>
      <c r="C116" s="5" t="s">
        <v>380</v>
      </c>
      <c r="D116" s="5" t="s">
        <v>8</v>
      </c>
    </row>
    <row r="117" spans="1:4" x14ac:dyDescent="0.25">
      <c r="A117" s="5" t="s">
        <v>381</v>
      </c>
      <c r="B117" s="5" t="s">
        <v>382</v>
      </c>
      <c r="C117" s="5" t="s">
        <v>383</v>
      </c>
      <c r="D117" s="5" t="s">
        <v>8</v>
      </c>
    </row>
    <row r="118" spans="1:4" x14ac:dyDescent="0.25">
      <c r="A118" s="5" t="s">
        <v>384</v>
      </c>
      <c r="B118" s="5" t="s">
        <v>385</v>
      </c>
      <c r="C118" s="5" t="s">
        <v>386</v>
      </c>
      <c r="D118" s="5" t="s">
        <v>8</v>
      </c>
    </row>
    <row r="119" spans="1:4" x14ac:dyDescent="0.25">
      <c r="A119" s="5" t="s">
        <v>387</v>
      </c>
      <c r="B119" s="5" t="s">
        <v>388</v>
      </c>
      <c r="C119" s="5" t="s">
        <v>389</v>
      </c>
      <c r="D119" s="5" t="s">
        <v>8</v>
      </c>
    </row>
    <row r="120" spans="1:4" x14ac:dyDescent="0.25">
      <c r="A120" s="5" t="s">
        <v>390</v>
      </c>
      <c r="B120" s="5" t="s">
        <v>391</v>
      </c>
      <c r="C120" s="5" t="s">
        <v>392</v>
      </c>
      <c r="D120" s="5" t="s">
        <v>8</v>
      </c>
    </row>
    <row r="121" spans="1:4" x14ac:dyDescent="0.25">
      <c r="A121" s="5" t="s">
        <v>393</v>
      </c>
      <c r="B121" s="5" t="s">
        <v>394</v>
      </c>
      <c r="C121" s="5" t="s">
        <v>395</v>
      </c>
      <c r="D121" s="5" t="s">
        <v>8</v>
      </c>
    </row>
    <row r="122" spans="1:4" x14ac:dyDescent="0.25">
      <c r="A122" s="5" t="s">
        <v>396</v>
      </c>
      <c r="B122" s="5" t="s">
        <v>397</v>
      </c>
      <c r="C122" s="5" t="s">
        <v>398</v>
      </c>
      <c r="D122" s="5" t="s">
        <v>8</v>
      </c>
    </row>
    <row r="123" spans="1:4" x14ac:dyDescent="0.25">
      <c r="A123" s="5" t="s">
        <v>399</v>
      </c>
      <c r="B123" s="5" t="s">
        <v>400</v>
      </c>
      <c r="C123" s="5" t="s">
        <v>401</v>
      </c>
      <c r="D123" s="5" t="s">
        <v>8</v>
      </c>
    </row>
    <row r="124" spans="1:4" x14ac:dyDescent="0.25">
      <c r="A124" s="5" t="s">
        <v>402</v>
      </c>
      <c r="B124" s="5" t="s">
        <v>403</v>
      </c>
      <c r="C124" s="5" t="s">
        <v>404</v>
      </c>
      <c r="D124" s="5" t="s">
        <v>8</v>
      </c>
    </row>
    <row r="125" spans="1:4" x14ac:dyDescent="0.25">
      <c r="A125" s="5" t="s">
        <v>405</v>
      </c>
      <c r="B125" s="5" t="s">
        <v>406</v>
      </c>
      <c r="C125" s="5" t="s">
        <v>407</v>
      </c>
      <c r="D125" s="5" t="s">
        <v>8</v>
      </c>
    </row>
    <row r="126" spans="1:4" x14ac:dyDescent="0.25">
      <c r="A126" s="5" t="s">
        <v>408</v>
      </c>
      <c r="B126" s="5" t="s">
        <v>409</v>
      </c>
      <c r="C126" s="5" t="s">
        <v>410</v>
      </c>
      <c r="D126" s="5" t="s">
        <v>8</v>
      </c>
    </row>
    <row r="127" spans="1:4" x14ac:dyDescent="0.25">
      <c r="A127" s="5" t="s">
        <v>411</v>
      </c>
      <c r="B127" s="5" t="s">
        <v>16</v>
      </c>
      <c r="C127" s="5" t="s">
        <v>412</v>
      </c>
      <c r="D127" s="5" t="s">
        <v>8</v>
      </c>
    </row>
    <row r="128" spans="1:4" x14ac:dyDescent="0.25">
      <c r="A128" s="5" t="s">
        <v>413</v>
      </c>
      <c r="B128" s="5" t="s">
        <v>403</v>
      </c>
      <c r="C128" s="5" t="s">
        <v>414</v>
      </c>
      <c r="D128" s="5" t="s">
        <v>8</v>
      </c>
    </row>
    <row r="129" spans="1:4" x14ac:dyDescent="0.25">
      <c r="A129" s="5" t="s">
        <v>415</v>
      </c>
      <c r="B129" s="5" t="s">
        <v>192</v>
      </c>
      <c r="C129" s="5" t="s">
        <v>416</v>
      </c>
      <c r="D129" s="5" t="s">
        <v>8</v>
      </c>
    </row>
    <row r="130" spans="1:4" x14ac:dyDescent="0.25">
      <c r="A130" s="5" t="s">
        <v>417</v>
      </c>
      <c r="B130" s="5" t="s">
        <v>388</v>
      </c>
      <c r="C130" s="5" t="s">
        <v>418</v>
      </c>
      <c r="D130" s="5" t="s">
        <v>8</v>
      </c>
    </row>
    <row r="131" spans="1:4" x14ac:dyDescent="0.25">
      <c r="A131" s="5" t="s">
        <v>419</v>
      </c>
      <c r="B131" s="5" t="s">
        <v>420</v>
      </c>
      <c r="C131" s="5" t="s">
        <v>421</v>
      </c>
      <c r="D131" s="5" t="s">
        <v>8</v>
      </c>
    </row>
    <row r="132" spans="1:4" x14ac:dyDescent="0.25">
      <c r="A132" s="5" t="s">
        <v>422</v>
      </c>
      <c r="B132" s="5" t="s">
        <v>67</v>
      </c>
      <c r="C132" s="5" t="s">
        <v>423</v>
      </c>
      <c r="D132" s="5" t="s">
        <v>8</v>
      </c>
    </row>
    <row r="133" spans="1:4" x14ac:dyDescent="0.25">
      <c r="A133" s="5" t="s">
        <v>424</v>
      </c>
      <c r="B133" s="5" t="s">
        <v>425</v>
      </c>
      <c r="C133" s="5" t="s">
        <v>426</v>
      </c>
      <c r="D133" s="5" t="s">
        <v>8</v>
      </c>
    </row>
    <row r="134" spans="1:4" x14ac:dyDescent="0.25">
      <c r="A134" s="5" t="s">
        <v>427</v>
      </c>
      <c r="B134" s="5" t="s">
        <v>362</v>
      </c>
      <c r="C134" s="5" t="s">
        <v>428</v>
      </c>
      <c r="D134" s="5" t="s">
        <v>8</v>
      </c>
    </row>
    <row r="135" spans="1:4" x14ac:dyDescent="0.25">
      <c r="A135" s="5" t="s">
        <v>429</v>
      </c>
      <c r="B135" s="5" t="s">
        <v>430</v>
      </c>
      <c r="C135" s="5" t="s">
        <v>431</v>
      </c>
      <c r="D135" s="5" t="s">
        <v>8</v>
      </c>
    </row>
    <row r="136" spans="1:4" x14ac:dyDescent="0.25">
      <c r="A136" s="5" t="s">
        <v>432</v>
      </c>
      <c r="B136" s="5" t="s">
        <v>288</v>
      </c>
      <c r="C136" s="5" t="s">
        <v>433</v>
      </c>
      <c r="D136" s="5" t="s">
        <v>8</v>
      </c>
    </row>
    <row r="137" spans="1:4" x14ac:dyDescent="0.25">
      <c r="A137" s="5" t="s">
        <v>434</v>
      </c>
      <c r="B137" s="5" t="s">
        <v>435</v>
      </c>
      <c r="C137" s="5" t="s">
        <v>436</v>
      </c>
      <c r="D137" s="5" t="s">
        <v>8</v>
      </c>
    </row>
    <row r="138" spans="1:4" x14ac:dyDescent="0.25">
      <c r="A138" s="5" t="s">
        <v>437</v>
      </c>
      <c r="B138" s="5" t="s">
        <v>438</v>
      </c>
      <c r="C138" s="5" t="s">
        <v>439</v>
      </c>
      <c r="D138" s="5" t="s">
        <v>8</v>
      </c>
    </row>
    <row r="139" spans="1:4" x14ac:dyDescent="0.25">
      <c r="A139" s="5" t="s">
        <v>440</v>
      </c>
      <c r="B139" s="5" t="s">
        <v>441</v>
      </c>
      <c r="C139" s="5" t="s">
        <v>442</v>
      </c>
      <c r="D139" s="5" t="s">
        <v>8</v>
      </c>
    </row>
    <row r="140" spans="1:4" x14ac:dyDescent="0.25">
      <c r="A140" s="5" t="s">
        <v>443</v>
      </c>
      <c r="B140" s="5" t="s">
        <v>444</v>
      </c>
      <c r="C140" s="5" t="s">
        <v>445</v>
      </c>
      <c r="D140" s="5" t="s">
        <v>8</v>
      </c>
    </row>
    <row r="141" spans="1:4" x14ac:dyDescent="0.25">
      <c r="A141" s="5" t="s">
        <v>446</v>
      </c>
      <c r="B141" s="5" t="s">
        <v>162</v>
      </c>
      <c r="C141" s="5" t="s">
        <v>447</v>
      </c>
      <c r="D141" s="5" t="s">
        <v>8</v>
      </c>
    </row>
    <row r="142" spans="1:4" x14ac:dyDescent="0.25">
      <c r="A142" s="5" t="s">
        <v>448</v>
      </c>
      <c r="B142" s="5" t="s">
        <v>449</v>
      </c>
      <c r="C142" s="5" t="s">
        <v>450</v>
      </c>
      <c r="D142" s="5" t="s">
        <v>8</v>
      </c>
    </row>
    <row r="143" spans="1:4" x14ac:dyDescent="0.25">
      <c r="A143" s="5" t="s">
        <v>451</v>
      </c>
      <c r="B143" s="5" t="s">
        <v>452</v>
      </c>
      <c r="C143" s="5" t="s">
        <v>453</v>
      </c>
      <c r="D143" s="5" t="s">
        <v>8</v>
      </c>
    </row>
    <row r="144" spans="1:4" x14ac:dyDescent="0.25">
      <c r="A144" s="5" t="s">
        <v>454</v>
      </c>
      <c r="B144" s="5" t="s">
        <v>444</v>
      </c>
      <c r="C144" s="5" t="s">
        <v>455</v>
      </c>
      <c r="D144" s="5" t="s">
        <v>8</v>
      </c>
    </row>
    <row r="145" spans="1:4" x14ac:dyDescent="0.25">
      <c r="A145" s="5" t="s">
        <v>456</v>
      </c>
      <c r="B145" s="5" t="s">
        <v>457</v>
      </c>
      <c r="C145" s="5" t="s">
        <v>458</v>
      </c>
      <c r="D145" s="5" t="s">
        <v>8</v>
      </c>
    </row>
    <row r="146" spans="1:4" x14ac:dyDescent="0.25">
      <c r="A146" s="5" t="s">
        <v>459</v>
      </c>
      <c r="B146" s="5" t="s">
        <v>460</v>
      </c>
      <c r="C146" s="5" t="s">
        <v>461</v>
      </c>
      <c r="D146" s="5" t="s">
        <v>8</v>
      </c>
    </row>
    <row r="147" spans="1:4" x14ac:dyDescent="0.25">
      <c r="A147" s="5" t="s">
        <v>462</v>
      </c>
      <c r="B147" s="5" t="s">
        <v>463</v>
      </c>
      <c r="C147" s="5" t="s">
        <v>464</v>
      </c>
      <c r="D147" s="5" t="s">
        <v>8</v>
      </c>
    </row>
    <row r="148" spans="1:4" x14ac:dyDescent="0.25">
      <c r="A148" s="5" t="s">
        <v>465</v>
      </c>
      <c r="B148" s="5" t="s">
        <v>466</v>
      </c>
      <c r="C148" s="5" t="s">
        <v>467</v>
      </c>
      <c r="D148" s="5" t="s">
        <v>8</v>
      </c>
    </row>
    <row r="149" spans="1:4" x14ac:dyDescent="0.25">
      <c r="A149" s="5" t="s">
        <v>468</v>
      </c>
      <c r="B149" s="5" t="s">
        <v>469</v>
      </c>
      <c r="C149" s="5" t="s">
        <v>470</v>
      </c>
      <c r="D149" s="5" t="s">
        <v>8</v>
      </c>
    </row>
    <row r="150" spans="1:4" x14ac:dyDescent="0.25">
      <c r="A150" s="5" t="s">
        <v>471</v>
      </c>
      <c r="B150" s="5" t="s">
        <v>452</v>
      </c>
      <c r="C150" s="5" t="s">
        <v>472</v>
      </c>
      <c r="D150" s="5" t="s">
        <v>8</v>
      </c>
    </row>
    <row r="151" spans="1:4" x14ac:dyDescent="0.25">
      <c r="A151" s="5" t="s">
        <v>494</v>
      </c>
      <c r="B151" s="5" t="s">
        <v>495</v>
      </c>
      <c r="C151" s="5" t="s">
        <v>496</v>
      </c>
      <c r="D151" s="5" t="s">
        <v>8</v>
      </c>
    </row>
    <row r="152" spans="1:4" x14ac:dyDescent="0.25">
      <c r="A152" s="5" t="s">
        <v>518</v>
      </c>
      <c r="B152" s="5" t="s">
        <v>519</v>
      </c>
      <c r="C152" s="5" t="s">
        <v>520</v>
      </c>
      <c r="D152" s="5" t="s">
        <v>8</v>
      </c>
    </row>
    <row r="153" spans="1:4" x14ac:dyDescent="0.25">
      <c r="A153" s="5" t="s">
        <v>521</v>
      </c>
      <c r="B153" s="5" t="s">
        <v>522</v>
      </c>
      <c r="C153" s="5" t="s">
        <v>523</v>
      </c>
      <c r="D153" s="5" t="s">
        <v>8</v>
      </c>
    </row>
    <row r="154" spans="1:4" x14ac:dyDescent="0.25">
      <c r="A154" s="5" t="s">
        <v>524</v>
      </c>
      <c r="B154" s="5" t="s">
        <v>525</v>
      </c>
      <c r="C154" s="5" t="s">
        <v>526</v>
      </c>
      <c r="D154" s="5" t="s">
        <v>8</v>
      </c>
    </row>
    <row r="155" spans="1:4" x14ac:dyDescent="0.25">
      <c r="A155" s="5" t="s">
        <v>527</v>
      </c>
      <c r="B155" s="5" t="s">
        <v>379</v>
      </c>
      <c r="C155" s="5" t="s">
        <v>528</v>
      </c>
      <c r="D155" s="5" t="s">
        <v>8</v>
      </c>
    </row>
    <row r="156" spans="1:4" x14ac:dyDescent="0.25">
      <c r="A156" s="5" t="s">
        <v>529</v>
      </c>
      <c r="B156" s="5" t="s">
        <v>530</v>
      </c>
      <c r="C156" s="5" t="s">
        <v>531</v>
      </c>
      <c r="D156" s="5" t="s">
        <v>8</v>
      </c>
    </row>
    <row r="157" spans="1:4" x14ac:dyDescent="0.25">
      <c r="A157" s="5" t="s">
        <v>532</v>
      </c>
      <c r="B157" s="5" t="s">
        <v>225</v>
      </c>
      <c r="C157" s="5" t="s">
        <v>226</v>
      </c>
      <c r="D157" s="5" t="s">
        <v>8</v>
      </c>
    </row>
    <row r="158" spans="1:4" x14ac:dyDescent="0.25">
      <c r="A158" s="5" t="s">
        <v>533</v>
      </c>
      <c r="B158" s="5" t="s">
        <v>192</v>
      </c>
      <c r="C158" s="5" t="s">
        <v>534</v>
      </c>
      <c r="D158" s="5" t="s">
        <v>8</v>
      </c>
    </row>
    <row r="159" spans="1:4" x14ac:dyDescent="0.25">
      <c r="A159" s="5" t="s">
        <v>535</v>
      </c>
      <c r="B159" s="5" t="s">
        <v>536</v>
      </c>
      <c r="C159" s="5" t="s">
        <v>537</v>
      </c>
      <c r="D159" s="5" t="s">
        <v>8</v>
      </c>
    </row>
    <row r="160" spans="1:4" x14ac:dyDescent="0.25">
      <c r="A160" s="5" t="s">
        <v>538</v>
      </c>
      <c r="B160" s="5" t="s">
        <v>539</v>
      </c>
      <c r="C160" s="5" t="s">
        <v>540</v>
      </c>
      <c r="D160" s="5" t="s">
        <v>8</v>
      </c>
    </row>
    <row r="161" spans="1:4" x14ac:dyDescent="0.25">
      <c r="A161" s="5" t="s">
        <v>541</v>
      </c>
      <c r="B161" s="5" t="s">
        <v>542</v>
      </c>
      <c r="C161" s="5" t="s">
        <v>543</v>
      </c>
      <c r="D161" s="5" t="s">
        <v>8</v>
      </c>
    </row>
    <row r="162" spans="1:4" x14ac:dyDescent="0.25">
      <c r="A162" s="5" t="s">
        <v>297</v>
      </c>
      <c r="B162" s="5" t="s">
        <v>298</v>
      </c>
      <c r="C162" s="5" t="s">
        <v>299</v>
      </c>
      <c r="D162" s="5" t="s">
        <v>300</v>
      </c>
    </row>
    <row r="163" spans="1:4" x14ac:dyDescent="0.25">
      <c r="A163" s="5" t="s">
        <v>127</v>
      </c>
      <c r="B163" s="5" t="s">
        <v>128</v>
      </c>
      <c r="C163" s="5" t="s">
        <v>129</v>
      </c>
      <c r="D163" s="5" t="s">
        <v>130</v>
      </c>
    </row>
    <row r="164" spans="1:4" x14ac:dyDescent="0.25">
      <c r="A164" s="5" t="s">
        <v>580</v>
      </c>
      <c r="B164" s="5" t="s">
        <v>581</v>
      </c>
      <c r="C164" s="5" t="s">
        <v>582</v>
      </c>
      <c r="D164" s="5" t="s">
        <v>130</v>
      </c>
    </row>
    <row r="165" spans="1:4" x14ac:dyDescent="0.25">
      <c r="A165" s="5" t="s">
        <v>549</v>
      </c>
      <c r="B165" s="5" t="s">
        <v>550</v>
      </c>
      <c r="C165" s="5" t="s">
        <v>551</v>
      </c>
      <c r="D165" s="5" t="s">
        <v>552</v>
      </c>
    </row>
    <row r="166" spans="1:4" x14ac:dyDescent="0.25">
      <c r="A166" s="5" t="s">
        <v>4</v>
      </c>
      <c r="B166" s="5" t="s">
        <v>4</v>
      </c>
      <c r="C166" s="5" t="s">
        <v>4</v>
      </c>
      <c r="D166" s="5" t="s">
        <v>4</v>
      </c>
    </row>
    <row r="167" spans="1:4" x14ac:dyDescent="0.25">
      <c r="A167" s="5" t="s">
        <v>4</v>
      </c>
      <c r="B167" s="5" t="s">
        <v>4</v>
      </c>
      <c r="C167" s="5" t="s">
        <v>4</v>
      </c>
      <c r="D167" s="5" t="s">
        <v>4</v>
      </c>
    </row>
    <row r="168" spans="1:4" x14ac:dyDescent="0.25">
      <c r="A168" s="5" t="s">
        <v>4</v>
      </c>
      <c r="B168" s="5" t="s">
        <v>4</v>
      </c>
      <c r="C168" s="5" t="s">
        <v>4</v>
      </c>
      <c r="D168" s="5" t="s">
        <v>4</v>
      </c>
    </row>
    <row r="169" spans="1:4" x14ac:dyDescent="0.25">
      <c r="A169" s="5" t="s">
        <v>514</v>
      </c>
      <c r="B169" s="5" t="s">
        <v>515</v>
      </c>
      <c r="C169" s="5" t="s">
        <v>516</v>
      </c>
      <c r="D169" s="5" t="s">
        <v>517</v>
      </c>
    </row>
    <row r="170" spans="1:4" x14ac:dyDescent="0.25">
      <c r="A170" s="5" t="s">
        <v>110</v>
      </c>
      <c r="B170" s="5" t="s">
        <v>111</v>
      </c>
      <c r="C170" s="5" t="s">
        <v>112</v>
      </c>
      <c r="D170" s="5" t="s">
        <v>113</v>
      </c>
    </row>
    <row r="171" spans="1:4" x14ac:dyDescent="0.25">
      <c r="A171" s="5" t="s">
        <v>476</v>
      </c>
      <c r="B171" s="5" t="s">
        <v>477</v>
      </c>
      <c r="C171" s="5" t="s">
        <v>478</v>
      </c>
      <c r="D171" s="5" t="s">
        <v>479</v>
      </c>
    </row>
    <row r="172" spans="1:4" x14ac:dyDescent="0.25">
      <c r="A172" s="5" t="s">
        <v>76</v>
      </c>
      <c r="B172" s="5" t="s">
        <v>77</v>
      </c>
      <c r="C172" s="5" t="s">
        <v>78</v>
      </c>
      <c r="D172" s="5" t="s">
        <v>79</v>
      </c>
    </row>
    <row r="173" spans="1:4" x14ac:dyDescent="0.25">
      <c r="A173" s="5" t="s">
        <v>80</v>
      </c>
      <c r="B173" s="5" t="s">
        <v>81</v>
      </c>
      <c r="C173" s="5" t="s">
        <v>82</v>
      </c>
      <c r="D173" s="5" t="s">
        <v>79</v>
      </c>
    </row>
    <row r="174" spans="1:4" x14ac:dyDescent="0.25">
      <c r="A174" s="5" t="s">
        <v>83</v>
      </c>
      <c r="B174" s="5" t="s">
        <v>84</v>
      </c>
      <c r="C174" s="5" t="s">
        <v>85</v>
      </c>
      <c r="D174" s="5" t="s">
        <v>79</v>
      </c>
    </row>
    <row r="175" spans="1:4" x14ac:dyDescent="0.25">
      <c r="A175" s="5" t="s">
        <v>308</v>
      </c>
      <c r="B175" s="5" t="s">
        <v>309</v>
      </c>
      <c r="C175" s="5" t="s">
        <v>310</v>
      </c>
      <c r="D175" s="5" t="s">
        <v>79</v>
      </c>
    </row>
    <row r="176" spans="1:4" x14ac:dyDescent="0.25">
      <c r="A176" s="5" t="s">
        <v>311</v>
      </c>
      <c r="B176" s="5" t="s">
        <v>312</v>
      </c>
      <c r="C176" s="5" t="s">
        <v>313</v>
      </c>
      <c r="D176" s="5" t="s">
        <v>79</v>
      </c>
    </row>
    <row r="177" spans="1:4" x14ac:dyDescent="0.25">
      <c r="A177" s="5" t="s">
        <v>314</v>
      </c>
      <c r="B177" s="5" t="s">
        <v>84</v>
      </c>
      <c r="C177" s="5" t="s">
        <v>313</v>
      </c>
      <c r="D177" s="5" t="s">
        <v>79</v>
      </c>
    </row>
    <row r="178" spans="1:4" x14ac:dyDescent="0.25">
      <c r="A178" s="5" t="s">
        <v>50</v>
      </c>
      <c r="B178" s="5" t="s">
        <v>51</v>
      </c>
      <c r="C178" s="5" t="s">
        <v>52</v>
      </c>
      <c r="D178" s="5" t="s">
        <v>53</v>
      </c>
    </row>
    <row r="179" spans="1:4" x14ac:dyDescent="0.25">
      <c r="A179" s="5" t="s">
        <v>553</v>
      </c>
      <c r="B179" s="5" t="s">
        <v>554</v>
      </c>
      <c r="C179" s="5" t="s">
        <v>555</v>
      </c>
      <c r="D179" s="5" t="s">
        <v>53</v>
      </c>
    </row>
    <row r="180" spans="1:4" x14ac:dyDescent="0.25">
      <c r="A180" s="5" t="s">
        <v>46</v>
      </c>
      <c r="B180" s="5" t="s">
        <v>47</v>
      </c>
      <c r="C180" s="5" t="s">
        <v>48</v>
      </c>
      <c r="D180" s="5" t="s">
        <v>49</v>
      </c>
    </row>
    <row r="181" spans="1:4" x14ac:dyDescent="0.25">
      <c r="A181" s="5" t="s">
        <v>73</v>
      </c>
      <c r="B181" s="5" t="s">
        <v>74</v>
      </c>
      <c r="C181" s="5" t="s">
        <v>75</v>
      </c>
      <c r="D181" s="5" t="s">
        <v>49</v>
      </c>
    </row>
    <row r="182" spans="1:4" x14ac:dyDescent="0.25">
      <c r="A182" s="5" t="s">
        <v>98</v>
      </c>
      <c r="B182" s="5" t="s">
        <v>99</v>
      </c>
      <c r="C182" s="5" t="s">
        <v>100</v>
      </c>
      <c r="D182" s="5" t="s">
        <v>49</v>
      </c>
    </row>
    <row r="183" spans="1:4" x14ac:dyDescent="0.25">
      <c r="A183" s="5" t="s">
        <v>497</v>
      </c>
      <c r="B183" s="5" t="s">
        <v>498</v>
      </c>
      <c r="C183" s="5" t="s">
        <v>499</v>
      </c>
      <c r="D183" s="5" t="s">
        <v>500</v>
      </c>
    </row>
    <row r="184" spans="1:4" x14ac:dyDescent="0.25">
      <c r="A184" s="5" t="s">
        <v>501</v>
      </c>
      <c r="B184" s="5" t="s">
        <v>502</v>
      </c>
      <c r="C184" s="5" t="s">
        <v>503</v>
      </c>
      <c r="D184" s="5" t="s">
        <v>500</v>
      </c>
    </row>
    <row r="185" spans="1:4" x14ac:dyDescent="0.25">
      <c r="A185" s="5" t="s">
        <v>544</v>
      </c>
      <c r="B185" s="5" t="s">
        <v>545</v>
      </c>
      <c r="C185" s="5" t="s">
        <v>546</v>
      </c>
      <c r="D185" s="5" t="s">
        <v>500</v>
      </c>
    </row>
    <row r="186" spans="1:4" x14ac:dyDescent="0.25">
      <c r="A186" s="5" t="s">
        <v>559</v>
      </c>
      <c r="B186" s="5" t="s">
        <v>560</v>
      </c>
      <c r="C186" s="5" t="s">
        <v>561</v>
      </c>
      <c r="D186" s="5" t="s">
        <v>500</v>
      </c>
    </row>
    <row r="187" spans="1:4" x14ac:dyDescent="0.25">
      <c r="A187" s="5" t="s">
        <v>565</v>
      </c>
      <c r="B187" s="5" t="s">
        <v>498</v>
      </c>
      <c r="C187" s="5" t="s">
        <v>566</v>
      </c>
      <c r="D187" s="5" t="s">
        <v>500</v>
      </c>
    </row>
    <row r="188" spans="1:4" x14ac:dyDescent="0.25">
      <c r="A188" s="5" t="s">
        <v>567</v>
      </c>
      <c r="B188" s="5" t="s">
        <v>498</v>
      </c>
      <c r="C188" s="5" t="s">
        <v>568</v>
      </c>
      <c r="D188" s="5" t="s">
        <v>500</v>
      </c>
    </row>
    <row r="189" spans="1:4" x14ac:dyDescent="0.25">
      <c r="A189" s="5" t="s">
        <v>15</v>
      </c>
      <c r="B189" s="5" t="s">
        <v>16</v>
      </c>
      <c r="C189" s="5" t="s">
        <v>17</v>
      </c>
      <c r="D189" s="5" t="s">
        <v>18</v>
      </c>
    </row>
    <row r="190" spans="1:4" x14ac:dyDescent="0.25">
      <c r="A190" s="5" t="s">
        <v>490</v>
      </c>
      <c r="B190" s="5" t="s">
        <v>491</v>
      </c>
      <c r="C190" s="5" t="s">
        <v>492</v>
      </c>
      <c r="D190" s="5" t="s">
        <v>493</v>
      </c>
    </row>
    <row r="191" spans="1:4" x14ac:dyDescent="0.25">
      <c r="A191" s="5" t="s">
        <v>69</v>
      </c>
      <c r="B191" s="5" t="s">
        <v>70</v>
      </c>
      <c r="C191" s="5" t="s">
        <v>71</v>
      </c>
      <c r="D191" s="5" t="s">
        <v>72</v>
      </c>
    </row>
    <row r="192" spans="1:4" x14ac:dyDescent="0.25">
      <c r="A192" s="5" t="s">
        <v>104</v>
      </c>
      <c r="B192" s="5" t="s">
        <v>105</v>
      </c>
      <c r="C192" s="5" t="s">
        <v>106</v>
      </c>
      <c r="D192" s="5" t="s">
        <v>72</v>
      </c>
    </row>
    <row r="193" spans="1:4" x14ac:dyDescent="0.25">
      <c r="A193" s="5" t="s">
        <v>107</v>
      </c>
      <c r="B193" s="5" t="s">
        <v>108</v>
      </c>
      <c r="C193" s="5" t="s">
        <v>109</v>
      </c>
      <c r="D193" s="5" t="s">
        <v>72</v>
      </c>
    </row>
    <row r="194" spans="1:4" x14ac:dyDescent="0.25">
      <c r="A194" s="5" t="s">
        <v>114</v>
      </c>
      <c r="B194" s="5" t="s">
        <v>115</v>
      </c>
      <c r="C194" s="5" t="s">
        <v>116</v>
      </c>
      <c r="D194" s="5" t="s">
        <v>72</v>
      </c>
    </row>
    <row r="195" spans="1:4" x14ac:dyDescent="0.25">
      <c r="A195" s="5" t="s">
        <v>266</v>
      </c>
      <c r="B195" s="5" t="s">
        <v>267</v>
      </c>
      <c r="C195" s="5" t="s">
        <v>268</v>
      </c>
      <c r="D195" s="5" t="s">
        <v>72</v>
      </c>
    </row>
    <row r="196" spans="1:4" x14ac:dyDescent="0.25">
      <c r="A196" s="5" t="s">
        <v>272</v>
      </c>
      <c r="B196" s="5" t="s">
        <v>273</v>
      </c>
      <c r="C196" s="5" t="s">
        <v>274</v>
      </c>
      <c r="D196" s="5" t="s">
        <v>72</v>
      </c>
    </row>
    <row r="197" spans="1:4" x14ac:dyDescent="0.25">
      <c r="A197" s="5" t="s">
        <v>275</v>
      </c>
      <c r="B197" s="5" t="s">
        <v>276</v>
      </c>
      <c r="C197" s="5" t="s">
        <v>277</v>
      </c>
      <c r="D197" s="5" t="s">
        <v>72</v>
      </c>
    </row>
    <row r="198" spans="1:4" x14ac:dyDescent="0.25">
      <c r="A198" s="5" t="s">
        <v>278</v>
      </c>
      <c r="B198" s="5" t="s">
        <v>279</v>
      </c>
      <c r="C198" s="5" t="s">
        <v>280</v>
      </c>
      <c r="D198" s="5" t="s">
        <v>72</v>
      </c>
    </row>
    <row r="199" spans="1:4" x14ac:dyDescent="0.25">
      <c r="A199" s="5" t="s">
        <v>583</v>
      </c>
      <c r="B199" s="5" t="s">
        <v>584</v>
      </c>
      <c r="C199" s="5" t="s">
        <v>585</v>
      </c>
      <c r="D199" s="5" t="s">
        <v>72</v>
      </c>
    </row>
    <row r="200" spans="1:4" x14ac:dyDescent="0.25">
      <c r="A200" s="5" t="s">
        <v>293</v>
      </c>
      <c r="B200" s="5" t="s">
        <v>294</v>
      </c>
      <c r="C200" s="5" t="s">
        <v>295</v>
      </c>
      <c r="D200" s="5" t="s">
        <v>296</v>
      </c>
    </row>
    <row r="201" spans="1:4" x14ac:dyDescent="0.25">
      <c r="A201" s="5" t="s">
        <v>547</v>
      </c>
      <c r="B201" s="5" t="s">
        <v>67</v>
      </c>
      <c r="C201" s="5" t="s">
        <v>548</v>
      </c>
      <c r="D201" s="5" t="s">
        <v>296</v>
      </c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</sheetData>
  <autoFilter ref="A1:D1" xr:uid="{00000000-0009-0000-0000-000000000000}"/>
  <sortState xmlns:xlrd2="http://schemas.microsoft.com/office/spreadsheetml/2017/richdata2" ref="A2:D210">
    <sortCondition descending="1" ref="D2:D21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26"/>
  <sheetViews>
    <sheetView workbookViewId="0">
      <selection activeCell="A2" sqref="A2:B25"/>
    </sheetView>
  </sheetViews>
  <sheetFormatPr baseColWidth="10" defaultRowHeight="15" x14ac:dyDescent="0.25"/>
  <cols>
    <col min="1" max="1" width="27.140625" bestFit="1" customWidth="1"/>
    <col min="2" max="2" width="31.28515625" bestFit="1" customWidth="1"/>
  </cols>
  <sheetData>
    <row r="1" spans="1:2" x14ac:dyDescent="0.25">
      <c r="A1" s="3" t="s">
        <v>3</v>
      </c>
      <c r="B1" s="3" t="s">
        <v>586</v>
      </c>
    </row>
    <row r="2" spans="1:2" x14ac:dyDescent="0.25">
      <c r="A2" s="6" t="s">
        <v>304</v>
      </c>
      <c r="B2" s="6">
        <v>2</v>
      </c>
    </row>
    <row r="3" spans="1:2" x14ac:dyDescent="0.25">
      <c r="A3" s="6" t="s">
        <v>483</v>
      </c>
      <c r="B3" s="6">
        <v>7</v>
      </c>
    </row>
    <row r="4" spans="1:2" x14ac:dyDescent="0.25">
      <c r="A4" s="6" t="s">
        <v>231</v>
      </c>
      <c r="B4" s="6">
        <v>2</v>
      </c>
    </row>
    <row r="5" spans="1:2" x14ac:dyDescent="0.25">
      <c r="A5" s="6" t="s">
        <v>238</v>
      </c>
      <c r="B5" s="6">
        <v>1</v>
      </c>
    </row>
    <row r="6" spans="1:2" x14ac:dyDescent="0.25">
      <c r="A6" s="6" t="s">
        <v>57</v>
      </c>
      <c r="B6" s="6">
        <v>6</v>
      </c>
    </row>
    <row r="7" spans="1:2" x14ac:dyDescent="0.25">
      <c r="A7" s="6" t="s">
        <v>45</v>
      </c>
      <c r="B7" s="6">
        <v>10</v>
      </c>
    </row>
    <row r="8" spans="1:2" x14ac:dyDescent="0.25">
      <c r="A8" s="6" t="s">
        <v>126</v>
      </c>
      <c r="B8" s="6">
        <v>2</v>
      </c>
    </row>
    <row r="9" spans="1:2" x14ac:dyDescent="0.25">
      <c r="A9" s="6" t="s">
        <v>579</v>
      </c>
      <c r="B9" s="6">
        <v>1</v>
      </c>
    </row>
    <row r="10" spans="1:2" x14ac:dyDescent="0.25">
      <c r="A10" s="6" t="s">
        <v>8</v>
      </c>
      <c r="B10" s="6">
        <v>129</v>
      </c>
    </row>
    <row r="11" spans="1:2" x14ac:dyDescent="0.25">
      <c r="A11" s="6" t="s">
        <v>300</v>
      </c>
      <c r="B11" s="6">
        <v>1</v>
      </c>
    </row>
    <row r="12" spans="1:2" x14ac:dyDescent="0.25">
      <c r="A12" s="6" t="s">
        <v>130</v>
      </c>
      <c r="B12" s="6">
        <v>2</v>
      </c>
    </row>
    <row r="13" spans="1:2" x14ac:dyDescent="0.25">
      <c r="A13" s="6" t="s">
        <v>552</v>
      </c>
      <c r="B13" s="6">
        <v>1</v>
      </c>
    </row>
    <row r="14" spans="1:2" x14ac:dyDescent="0.25">
      <c r="A14" s="6" t="s">
        <v>4</v>
      </c>
      <c r="B14" s="6">
        <v>3</v>
      </c>
    </row>
    <row r="15" spans="1:2" x14ac:dyDescent="0.25">
      <c r="A15" s="6" t="s">
        <v>517</v>
      </c>
      <c r="B15" s="6">
        <v>1</v>
      </c>
    </row>
    <row r="16" spans="1:2" x14ac:dyDescent="0.25">
      <c r="A16" s="6" t="s">
        <v>113</v>
      </c>
      <c r="B16" s="6">
        <v>1</v>
      </c>
    </row>
    <row r="17" spans="1:2" x14ac:dyDescent="0.25">
      <c r="A17" s="6" t="s">
        <v>479</v>
      </c>
      <c r="B17" s="6">
        <v>1</v>
      </c>
    </row>
    <row r="18" spans="1:2" x14ac:dyDescent="0.25">
      <c r="A18" s="6" t="s">
        <v>79</v>
      </c>
      <c r="B18" s="6">
        <v>6</v>
      </c>
    </row>
    <row r="19" spans="1:2" x14ac:dyDescent="0.25">
      <c r="A19" s="6" t="s">
        <v>53</v>
      </c>
      <c r="B19" s="6">
        <v>2</v>
      </c>
    </row>
    <row r="20" spans="1:2" x14ac:dyDescent="0.25">
      <c r="A20" s="6" t="s">
        <v>49</v>
      </c>
      <c r="B20" s="6">
        <v>3</v>
      </c>
    </row>
    <row r="21" spans="1:2" x14ac:dyDescent="0.25">
      <c r="A21" s="6" t="s">
        <v>500</v>
      </c>
      <c r="B21" s="6">
        <v>6</v>
      </c>
    </row>
    <row r="22" spans="1:2" x14ac:dyDescent="0.25">
      <c r="A22" s="6" t="s">
        <v>18</v>
      </c>
      <c r="B22" s="6">
        <v>1</v>
      </c>
    </row>
    <row r="23" spans="1:2" x14ac:dyDescent="0.25">
      <c r="A23" s="6" t="s">
        <v>493</v>
      </c>
      <c r="B23" s="6">
        <v>1</v>
      </c>
    </row>
    <row r="24" spans="1:2" x14ac:dyDescent="0.25">
      <c r="A24" s="6" t="s">
        <v>72</v>
      </c>
      <c r="B24" s="6">
        <v>9</v>
      </c>
    </row>
    <row r="25" spans="1:2" x14ac:dyDescent="0.25">
      <c r="A25" s="6" t="s">
        <v>296</v>
      </c>
      <c r="B25" s="6">
        <v>2</v>
      </c>
    </row>
    <row r="26" spans="1:2" x14ac:dyDescent="0.25">
      <c r="A26" s="6" t="s">
        <v>587</v>
      </c>
      <c r="B26" s="6">
        <f>SUM(B2:B25)</f>
        <v>200</v>
      </c>
    </row>
  </sheetData>
  <autoFilter ref="A1:B1" xr:uid="{AAD5D367-0784-4F2D-8FC0-0667472D3377}"/>
  <sortState xmlns:xlrd2="http://schemas.microsoft.com/office/spreadsheetml/2017/richdata2" ref="A2:B25">
    <sortCondition descending="1" ref="A2:A25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2024-05-30T01:12:14Z</dcterms:modified>
</cp:coreProperties>
</file>