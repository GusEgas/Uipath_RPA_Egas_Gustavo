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skl\Desktop\versiones\Uipath_RPADevT_EgasGustavo\Uipath_RPADevT_EgasGustavo\"/>
    </mc:Choice>
  </mc:AlternateContent>
  <xr:revisionPtr revIDLastSave="0" documentId="13_ncr:1_{855CDEE6-F5C8-49D1-ABD0-5A57C7E64CF9}" xr6:coauthVersionLast="47" xr6:coauthVersionMax="47" xr10:uidLastSave="{00000000-0000-0000-0000-000000000000}"/>
  <bookViews>
    <workbookView xWindow="6735" yWindow="4095" windowWidth="16125" windowHeight="11385" xr2:uid="{00000000-000D-0000-FFFF-FFFF00000000}"/>
  </bookViews>
  <sheets>
    <sheet name="POBLACION" sheetId="1" r:id="rId1"/>
    <sheet name="CLASIFICACION" sheetId="2" r:id="rId2"/>
  </sheets>
  <definedNames>
    <definedName name="_xlnm._FilterDatabase" localSheetId="1" hidden="1">CLASIFICACION!$A$1:$B$1</definedName>
    <definedName name="_xlnm._FilterDatabase" localSheetId="0" hidden="1">POBLACION!$A$1:$D$1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2" i="2" l="1"/>
  <c r="E2" i="1"/>
  <c r="E3" i="1"/>
  <c r="E4" i="1"/>
  <c r="E5" i="1"/>
  <c r="E7" i="1" l="1"/>
  <c r="E8" i="1" s="1"/>
</calcChain>
</file>

<file path=xl/sharedStrings.xml><?xml version="1.0" encoding="utf-8"?>
<sst xmlns="http://schemas.openxmlformats.org/spreadsheetml/2006/main" count="507" uniqueCount="374">
  <si>
    <t>Número Telefónico</t>
  </si>
  <si>
    <t>Nombre del Propietario</t>
  </si>
  <si>
    <t>Dirección</t>
  </si>
  <si>
    <t>Localidad</t>
  </si>
  <si>
    <t>73065317</t>
  </si>
  <si>
    <t>CASTRO CASTRO ROSA CLEMENTINA</t>
  </si>
  <si>
    <t>SECTOR SAN FRANCISCO</t>
  </si>
  <si>
    <t>GUALACEO</t>
  </si>
  <si>
    <t>73062844</t>
  </si>
  <si>
    <t>CASTRO CHACON MARIA ELICIA</t>
  </si>
  <si>
    <t>JUAN BAUTISTA COBOS 757 Y ANTONIO SERRANO</t>
  </si>
  <si>
    <t>CHORDELEG</t>
  </si>
  <si>
    <t>73062810</t>
  </si>
  <si>
    <t>CASTRO SALINAS LUIS FLORENCIO</t>
  </si>
  <si>
    <t>DELEGSOL - CENTRO 0 VIA AL RIO</t>
  </si>
  <si>
    <t>73062794</t>
  </si>
  <si>
    <t>CASTRO CASTRO SEGUNDO LUIS ANGEL</t>
  </si>
  <si>
    <t>CENTRO PARROQUIAL</t>
  </si>
  <si>
    <t>DELEGSOL</t>
  </si>
  <si>
    <t>73062793</t>
  </si>
  <si>
    <t>CASTRO SAMANIEGO ROSARIO DE LOS ANGELES</t>
  </si>
  <si>
    <t>73062781</t>
  </si>
  <si>
    <t>MIRIAM ANGELICA CORDOVA CASTRO</t>
  </si>
  <si>
    <t>SECTOR ZHIO 0 ZHIO ALTO ZHIO ALTO</t>
  </si>
  <si>
    <t>73062778</t>
  </si>
  <si>
    <t>CASTRO CASTRO LUIS RIGOBERTO</t>
  </si>
  <si>
    <t>RODOLFO ESPINOZA 0 Y 15 DE OCTUBRE</t>
  </si>
  <si>
    <t>73062774</t>
  </si>
  <si>
    <t>SONIA PATRICIA CASTRO MONTESDEOCA</t>
  </si>
  <si>
    <t>JUAN BAUTISTA COBOS 0 Y AVENIDA 15 DE ABRIL JUAN BAUTISTA COBOS</t>
  </si>
  <si>
    <t>73054702</t>
  </si>
  <si>
    <t>CASTRO IDROVO JOSE RAUL</t>
  </si>
  <si>
    <t>PORTOVELO GRANDE 0 Y VIA GIRON PASAJE</t>
  </si>
  <si>
    <t>LA UNION</t>
  </si>
  <si>
    <t>73054147</t>
  </si>
  <si>
    <t>ROBLES CASTRO ANIBAL GIOVANNY</t>
  </si>
  <si>
    <t>VIS GIRON PASAJE 0 SECTOR RIDCAY ALTO SECTOR RIDCAY ALTO</t>
  </si>
  <si>
    <t>GIRON</t>
  </si>
  <si>
    <t>73054120</t>
  </si>
  <si>
    <t>CASTRO PIEDRA JAIME ANTONIO</t>
  </si>
  <si>
    <t>PICHANILLAS 0 Y AV. GIRON PASAJE</t>
  </si>
  <si>
    <t>73054110</t>
  </si>
  <si>
    <t>73053985</t>
  </si>
  <si>
    <t>MATUTE CASTRO JORGE EDUARDO</t>
  </si>
  <si>
    <t>LUZ Y GUIA 0 Y CENTRO</t>
  </si>
  <si>
    <t>PONCE ENRIQUEZ</t>
  </si>
  <si>
    <t>73053456</t>
  </si>
  <si>
    <t>EDDY ESTEBAN ZEA CASTRO</t>
  </si>
  <si>
    <t>UZHUPUD 0 Y CALLE S/N FRENTE A LA EX HOSTER�A UZHUPUD</t>
  </si>
  <si>
    <t>PAUTE</t>
  </si>
  <si>
    <t>73053119</t>
  </si>
  <si>
    <t>LEONIDAS BENJAMIN CASTRO CAMBIZACA</t>
  </si>
  <si>
    <t>HORNALOMA 0</t>
  </si>
  <si>
    <t>DANIEL CORDOVA</t>
  </si>
  <si>
    <t>73052962</t>
  </si>
  <si>
    <t>CALLE CASTRO MANUEL HIPOLITO</t>
  </si>
  <si>
    <t>ZHIDMAD 0 SECTOR GUAYAN SECTOR GUAYAN</t>
  </si>
  <si>
    <t>73052418</t>
  </si>
  <si>
    <t>CASTRO ALBAREZ RUTH GEORGINA</t>
  </si>
  <si>
    <t>CHARQUI 0 Y NABON</t>
  </si>
  <si>
    <t>NABON</t>
  </si>
  <si>
    <t>73051640</t>
  </si>
  <si>
    <t>SALINAS CASTRO ROSA ELENA</t>
  </si>
  <si>
    <t>PARROQUIA PRINCIPAL 0 EL REMATE GAUSAL EL REMATE GAUSAL</t>
  </si>
  <si>
    <t>73051545</t>
  </si>
  <si>
    <t>CASTRO VARGAS ROSARIO DOLORES</t>
  </si>
  <si>
    <t>SECTOR ZHIO 0 Y CHILCAPAMBA KILOMETRO 24 VIA PRINCIPAL - SIGSIG - CASA DE BAHAREQUE KM. 24 VIA PRINCIPAL - SIGSIG - CASA DE BAHAREQUE</t>
  </si>
  <si>
    <t>73051373</t>
  </si>
  <si>
    <t>MARIN CASTRO ROSA ANGELITA</t>
  </si>
  <si>
    <t>ZHOTOR</t>
  </si>
  <si>
    <t>SIGSIG</t>
  </si>
  <si>
    <t>73051343</t>
  </si>
  <si>
    <t>JARA CASTRO LAURO ROSENDO</t>
  </si>
  <si>
    <t>ZHUZHUG 0 CASA BLANCA 2 PISOS TECHO AMARILLO CASA BLANCA 2 PISOS TECHO AMARILLO</t>
  </si>
  <si>
    <t>73050890</t>
  </si>
  <si>
    <t>TELLO CASTRO NESTOR BENJAMIN</t>
  </si>
  <si>
    <t>REMIGIO CRESPO - ZHIQUIL 0</t>
  </si>
  <si>
    <t>73050531</t>
  </si>
  <si>
    <t>CASTRO PULLA LUIS ALFREDO</t>
  </si>
  <si>
    <t>PRINCIPAL LLAZHIPAL GUACAMULLO</t>
  </si>
  <si>
    <t>GUELL</t>
  </si>
  <si>
    <t>73050335</t>
  </si>
  <si>
    <t>CASTRO CALLE JOSE ALEJANDRINO</t>
  </si>
  <si>
    <t>LA RAMADA</t>
  </si>
  <si>
    <t>SAN CRISTOBAL CENTRO</t>
  </si>
  <si>
    <t>73014831</t>
  </si>
  <si>
    <t>SALAZAR CASTRO ALBA ELSA</t>
  </si>
  <si>
    <t>GUALACEO SIMON BOLIVAR 741</t>
  </si>
  <si>
    <t>73014824</t>
  </si>
  <si>
    <t>CASTRO SUAREZ ALFONSINA DE JESUS</t>
  </si>
  <si>
    <t>GUALACEO SIMON BOLIVAR 119</t>
  </si>
  <si>
    <t>73014807</t>
  </si>
  <si>
    <t>SALINAS CASTRO ELSA MARINA</t>
  </si>
  <si>
    <t>GUALACEO SIMON BOLIVAR 889</t>
  </si>
  <si>
    <t>73014798</t>
  </si>
  <si>
    <t>SALINAS CASTRO VIRGINIA ELIZABETH</t>
  </si>
  <si>
    <t>GUALACEO SIMON BOLIVAR 619</t>
  </si>
  <si>
    <t>73014652</t>
  </si>
  <si>
    <t>CASTRO SEGARRA JOSE ELIAS</t>
  </si>
  <si>
    <t>PAUTE - DUGDUG 96</t>
  </si>
  <si>
    <t>VILLA FLOR</t>
  </si>
  <si>
    <t>73014290</t>
  </si>
  <si>
    <t>LETTY MAYRA SERRANO CASTRO</t>
  </si>
  <si>
    <t>PILANCON 0N Y -- CAMBIO DE TECNOLOGIA SECTOR PILANCON</t>
  </si>
  <si>
    <t>SANTA ISABEL</t>
  </si>
  <si>
    <t>73014254</t>
  </si>
  <si>
    <t>CASTRO BECERRA NILA MACARENA</t>
  </si>
  <si>
    <t>SANTA ISABEL - LA UNION 59</t>
  </si>
  <si>
    <t>73014162</t>
  </si>
  <si>
    <t>ARIAS CASTRO MANUEL PORFIRIO</t>
  </si>
  <si>
    <t>SANTA ISABEL - JUBONES 604 Y SANTA ISABEL CONJUNTO-PONTEVEDRA-DEP. 72 PA-II ETAPA--II ETAPA SANTA ISABEL - JUBONES</t>
  </si>
  <si>
    <t>73014145</t>
  </si>
  <si>
    <t>ELISA OLIVA ALVAREZ CASTRO</t>
  </si>
  <si>
    <t>SANTA ISABEL 926 PORTOVELO GRANDE</t>
  </si>
  <si>
    <t>73013932</t>
  </si>
  <si>
    <t>SARMIENTO CASTRO ANGEL MIGUEL</t>
  </si>
  <si>
    <t>LA ASUNCION - LENTAG 303</t>
  </si>
  <si>
    <t>73011943</t>
  </si>
  <si>
    <t>CASTRO TORRES BOLIVAR ENRIQUE</t>
  </si>
  <si>
    <t>TOMEBAMBA - SANTUL 0</t>
  </si>
  <si>
    <t>73011934</t>
  </si>
  <si>
    <t>CASTRO CASTRO NESTOR AUGUSTO</t>
  </si>
  <si>
    <t>GUACHUN 854</t>
  </si>
  <si>
    <t>73011908</t>
  </si>
  <si>
    <t>ORTIZ CASTRO CESAREO ALBERTO</t>
  </si>
  <si>
    <t>PAUTE - TOMEBAMBA TUNCAY 233</t>
  </si>
  <si>
    <t>TOMEBAMBA</t>
  </si>
  <si>
    <t>73010772</t>
  </si>
  <si>
    <t>ROSA FILOMENA LUNA CASTRO</t>
  </si>
  <si>
    <t>GUALACEO - SAN JUAN GUI�ADEL 293</t>
  </si>
  <si>
    <t>SAN JUAN</t>
  </si>
  <si>
    <t>72538019</t>
  </si>
  <si>
    <t>LEON CASTRO JORGE AGUSTIN</t>
  </si>
  <si>
    <t>72536042</t>
  </si>
  <si>
    <t>CLAUDIA ROSALIA CASTRO URGILES</t>
  </si>
  <si>
    <t>PALMAS - CENTRO PARROQUIAL 0 .</t>
  </si>
  <si>
    <t>PALMAS</t>
  </si>
  <si>
    <t>72509033</t>
  </si>
  <si>
    <t>CASTRO BERMEO ZOILA PIEDAD</t>
  </si>
  <si>
    <t>LUIS ENRIQUE VASQUEZ 0 Y Y LUIS CORDERO</t>
  </si>
  <si>
    <t>72509021</t>
  </si>
  <si>
    <t>CASTRO RIERA GRETA JANETH</t>
  </si>
  <si>
    <t>LAS PE�AS 0 Y PIRINCAY LAS PE�AS 0 CS 1 PS AMARILLA DIAGONAL SINDICATO DE CHOFERES - CS 1 PS AMARILLA DIAGONAL SINDIC</t>
  </si>
  <si>
    <t>72430445</t>
  </si>
  <si>
    <t>CASTRO BIJAY INES MARIA</t>
  </si>
  <si>
    <t>PANAMERICANA 0 Y ALBERTO CHERRES CASA 3 PLANTAS CASA-3 PLANTAS PANAMERICANA</t>
  </si>
  <si>
    <t>72296066</t>
  </si>
  <si>
    <t>CASTRO PORTILLO NELSON MANUEL</t>
  </si>
  <si>
    <t>GUELL CENTRO</t>
  </si>
  <si>
    <t>72296055</t>
  </si>
  <si>
    <t>PORTILLO CASTRO ROSARIO DE JESUS</t>
  </si>
  <si>
    <t>GUEL CENTRO PARROQUIAL</t>
  </si>
  <si>
    <t>72296038</t>
  </si>
  <si>
    <t>LOPEZ CASTRO CARMEN IRENE</t>
  </si>
  <si>
    <t>72296035</t>
  </si>
  <si>
    <t>CASTRO SAMANIEGO ROSA TARGELIA</t>
  </si>
  <si>
    <t>72296007</t>
  </si>
  <si>
    <t>ORTEGA CASTRO NESTOR FIDEL</t>
  </si>
  <si>
    <t>CENTRO PARROQUIAL GUEL</t>
  </si>
  <si>
    <t>72294105</t>
  </si>
  <si>
    <t>CASTRO SAMANIEGO FROILAN HERIBERTO</t>
  </si>
  <si>
    <t>PRINCIPAL EL CISNE</t>
  </si>
  <si>
    <t>72294062</t>
  </si>
  <si>
    <t>ATARIGUANA CASTRO MIGUEL HERNAN</t>
  </si>
  <si>
    <t>PRINCIPAL CENTRO</t>
  </si>
  <si>
    <t>72294032</t>
  </si>
  <si>
    <t>SANCHEZ CASTRO SEGUNDO ELADIO</t>
  </si>
  <si>
    <t>72294018</t>
  </si>
  <si>
    <t>CASTRO CAMBIZACA ISAAC ANTONIO</t>
  </si>
  <si>
    <t>PRINCIPAL ALIANZA REMATE</t>
  </si>
  <si>
    <t>72294011</t>
  </si>
  <si>
    <t>CASTRO ZHUNIO ANA ELISENDA</t>
  </si>
  <si>
    <t>72294004</t>
  </si>
  <si>
    <t>CASTRO SAMANIEGO LUZ ERCILA</t>
  </si>
  <si>
    <t>CENTRO PARROQUIAL PRINCIPAL</t>
  </si>
  <si>
    <t>72284296</t>
  </si>
  <si>
    <t>CASTRO BARRERA GLORIA ERCILA</t>
  </si>
  <si>
    <t>DUGDUG</t>
  </si>
  <si>
    <t>GUACHAPALA</t>
  </si>
  <si>
    <t>72279875</t>
  </si>
  <si>
    <t>CASTRO VELASQUEZ JOSE ROSENDO</t>
  </si>
  <si>
    <t>QUIMAPUTE</t>
  </si>
  <si>
    <t>SAN FERNANDO AZUAY</t>
  </si>
  <si>
    <t>72279860</t>
  </si>
  <si>
    <t>CASTRO PE�A JOSE ROLENDIO</t>
  </si>
  <si>
    <t>SANTIAGO DE S FERNANDO Y JOSE M QUITO</t>
  </si>
  <si>
    <t>72279856</t>
  </si>
  <si>
    <t>CASTRO PE�A GLADYS MARCIA</t>
  </si>
  <si>
    <t>RECINTO SAN CARLOS 0 A UNA CUADRA MAS ABAJO COLEGIO GALO PLAZA - CASA BLANCA TECHO AZUL</t>
  </si>
  <si>
    <t>72279619</t>
  </si>
  <si>
    <t>LUPERCIO CASTRO ESTHER MARIA</t>
  </si>
  <si>
    <t>SECTOR ROSAS</t>
  </si>
  <si>
    <t>72279598</t>
  </si>
  <si>
    <t>CASTRO PASATO ELSA MARLENE</t>
  </si>
  <si>
    <t>CUENCA</t>
  </si>
  <si>
    <t>72279559</t>
  </si>
  <si>
    <t>LUPERCIO CASTRO MARIA ISULINA</t>
  </si>
  <si>
    <t>VIA A LA ASUNCION 0 Y SECTOR ROSAS POR LA VIA A PACAY DE LA CAPILLA A 100 METROS CASA COLOR BLANCA POR LA VIA A PACAY DE LA CAPILLA A 100 METROS CASA COLOR BLANCA SECTOR ROSAS</t>
  </si>
  <si>
    <t>72279454</t>
  </si>
  <si>
    <t>CASTRO CHUMI MARIA FLORENCIA</t>
  </si>
  <si>
    <t>ROSA INERTA</t>
  </si>
  <si>
    <t>72279440</t>
  </si>
  <si>
    <t>CASTRO CHUMI AGRIPINA MERCEDES</t>
  </si>
  <si>
    <t>SAN JOSE NOVA</t>
  </si>
  <si>
    <t>72279409</t>
  </si>
  <si>
    <t>CASTRO GUAMAN JULIA OLIVA</t>
  </si>
  <si>
    <t>72279387</t>
  </si>
  <si>
    <t>CASTRO SANCHO JORGE VINICIO</t>
  </si>
  <si>
    <t>SAN ISIDRO</t>
  </si>
  <si>
    <t>72273076</t>
  </si>
  <si>
    <t>CASTRO SANTOS BLANCA PIEDAD</t>
  </si>
  <si>
    <t>AVENIDA CA�ARIBAMBA 0 Y ALBERTO GOMEZ FRENTE AL CUERPO DE BOMBEROS AVENIDA CA�ARIBAMBA</t>
  </si>
  <si>
    <t>72271053</t>
  </si>
  <si>
    <t>NARVAEZ CASTRO ALCIRA</t>
  </si>
  <si>
    <t>VELASCO IBARRA</t>
  </si>
  <si>
    <t>72270623</t>
  </si>
  <si>
    <t>NARVAEZ CASTRO JUAN ANTONIO</t>
  </si>
  <si>
    <t>9 DE OCTUBRE</t>
  </si>
  <si>
    <t>72270434</t>
  </si>
  <si>
    <t>POZO CASTRO MILTON RENE</t>
  </si>
  <si>
    <t>SECTOR EL TRIUNFO 0 Y --</t>
  </si>
  <si>
    <t>72267720</t>
  </si>
  <si>
    <t>RUTH MARLENE CASTRO TELLO</t>
  </si>
  <si>
    <t>RODIL 219 Y BOLIVAR RODIL</t>
  </si>
  <si>
    <t>72267496</t>
  </si>
  <si>
    <t>BENAVIDEZ CASTRO NELSON BENJAMIN</t>
  </si>
  <si>
    <t>AVENIDA MARIA AUXILIADORA</t>
  </si>
  <si>
    <t>72267234</t>
  </si>
  <si>
    <t>CASTRO TELLO EDGAR ROLANDO</t>
  </si>
  <si>
    <t>CALLE PRIVADA ESQUINA GARCIA MORENO</t>
  </si>
  <si>
    <t>72266896</t>
  </si>
  <si>
    <t>CASTRO SARMIENTO SERGIO ANTONIO</t>
  </si>
  <si>
    <t>RODIL 221 Y BOLIVAR RODIL</t>
  </si>
  <si>
    <t>72266840</t>
  </si>
  <si>
    <t>FERNANDO MARCELO CASTRO MERCHAN</t>
  </si>
  <si>
    <t>MOSCOSO 0 Y PADRE TORRES CASA DE 2 PISOS CON PLANTAS, FRENTE AL GIMNASIO ANAMORIS CASA DE 2 PISOS CON PLANTAS, FRENTE AL GIMNASIO ANAMORIS PADRE TORRES</t>
  </si>
  <si>
    <t>72266619</t>
  </si>
  <si>
    <t>CASTRO ORTEGA ELVIA SOLEDAD</t>
  </si>
  <si>
    <t>72266508</t>
  </si>
  <si>
    <t>SALINAS CASTRO PIEDAD GRACIELA</t>
  </si>
  <si>
    <t>MARIA AUXILIADORA 0 Y CALLE SIN NOMBRE DETRAS DE LA FERRETERIA SAMANIEGO</t>
  </si>
  <si>
    <t>72266357</t>
  </si>
  <si>
    <t>CASTRO CASTRO LASTENIA VICTORIA</t>
  </si>
  <si>
    <t>BOLIVAR</t>
  </si>
  <si>
    <t>72266179</t>
  </si>
  <si>
    <t>CASTRO SAMANIEGO LUIS ALFREDO</t>
  </si>
  <si>
    <t>BOLIVAR DAVILA</t>
  </si>
  <si>
    <t>72266134</t>
  </si>
  <si>
    <t>SALINAS CASTRO JOSE RAFAEL</t>
  </si>
  <si>
    <t>CALLE TORRES RODIL</t>
  </si>
  <si>
    <t>72262394</t>
  </si>
  <si>
    <t>CASTRO FARFAN JOSE ANGEL SALVADOR</t>
  </si>
  <si>
    <t>PORTOVELO GRANDE</t>
  </si>
  <si>
    <t>72262393</t>
  </si>
  <si>
    <t>LUIS ALBERTO CASTRO DURAN</t>
  </si>
  <si>
    <t>VIA GIRON PASAJE 0 Y QUILLOSISA A 100M DE LA CANCHA A 100M DE LA CANCHA</t>
  </si>
  <si>
    <t>72262337</t>
  </si>
  <si>
    <t>CASTRO LEDESMA ROSA EULALIA</t>
  </si>
  <si>
    <t>SECTOR BELLAVISTA</t>
  </si>
  <si>
    <t>72262284</t>
  </si>
  <si>
    <t>RUILOVA CASTRO CARLOS JULIO</t>
  </si>
  <si>
    <t>72262177</t>
  </si>
  <si>
    <t>LANDI CASTRO ROSA ESTHER</t>
  </si>
  <si>
    <t>QUILLOSISA 0 Y VIA GIRON PASAJE QUILLOSISA</t>
  </si>
  <si>
    <t>72262007</t>
  </si>
  <si>
    <t>CASTRO BECERRA FRANCO TIMOLEON</t>
  </si>
  <si>
    <t>LA UNION - ABDON CALDERON 0 Y CENTRO CASA DE UN PISO COLOR CREMA LA UNION - ABDON CALDERON</t>
  </si>
  <si>
    <t>72258243</t>
  </si>
  <si>
    <t>CASTRO MURILLO RAQUEL AMADA</t>
  </si>
  <si>
    <t>LLANO BAJO</t>
  </si>
  <si>
    <t>72258163</t>
  </si>
  <si>
    <t>LEON CASTRO FELIX ANANIAS</t>
  </si>
  <si>
    <t>LAS NIEVES</t>
  </si>
  <si>
    <t>72257400</t>
  </si>
  <si>
    <t>. PRODUCTORA RADIAL CASTRO TORRES TOQUILLARADIO</t>
  </si>
  <si>
    <t>AVDA. HUAYNA CAPAC 1 Y LOS INCAS</t>
  </si>
  <si>
    <t>72257333</t>
  </si>
  <si>
    <t>SILBIA YOLANDA ANGAMARCA CASTRO</t>
  </si>
  <si>
    <t>SECTOR EL ARENAL 0 Y Y SECTOR EL TRIUNFO GUALACEO, EL ARENAL SECTOR EL TRIUNFO CEL 0995880418 Y 0985157869 CIS CUENCA EXT 60021 GUALACEO, EL ARENAL SECTOR EL TRIUNFO CEL 0995880418 Y 0985157869 CIS CUENCA EXT 60021 SECTOR EL TRIUNFO</t>
  </si>
  <si>
    <t>72256829</t>
  </si>
  <si>
    <t>CASTRO MATUTE CARMEN VIRGINIA</t>
  </si>
  <si>
    <t>SECTOR EL LLANO 777 Y SECTOR LLANO ALTO</t>
  </si>
  <si>
    <t>72256826</t>
  </si>
  <si>
    <t>CASTRO SALINAS MANUEL JESUS</t>
  </si>
  <si>
    <t>CHAPARRO 0 Y RUMI�AHUI CHAPARRO</t>
  </si>
  <si>
    <t>72255256</t>
  </si>
  <si>
    <t>CASTRO MATUTE LIVIA BALDOMIRA</t>
  </si>
  <si>
    <t>SECTOR LLANO ALTO 0 VIA A QUIMZHI</t>
  </si>
  <si>
    <t>72255157</t>
  </si>
  <si>
    <t>CASTRO RAMON FIDEL EDUARDO</t>
  </si>
  <si>
    <t>DAVILA CHICA</t>
  </si>
  <si>
    <t>72255077</t>
  </si>
  <si>
    <t>FELIX ANANIAS LEON CASTRO</t>
  </si>
  <si>
    <t>VICENTE PENA REYES</t>
  </si>
  <si>
    <t>72250436</t>
  </si>
  <si>
    <t>POLIVIO MOISES ALVAREZ CASTRO</t>
  </si>
  <si>
    <t>AV. INTEROCEANICA 1 N Y PAUTE DETARS DEL COLEGIO 26 DE FEBRERO DETARS DEL COLEGIO 26 DE FEBRERO PAUTE</t>
  </si>
  <si>
    <t>72250034</t>
  </si>
  <si>
    <t>ASTUDILLO CASTRO ZOILA CELINA</t>
  </si>
  <si>
    <t>CIUDADELA DON BOSCO 1 FRENTE AL PARQUE DEL MONUMENTO</t>
  </si>
  <si>
    <t>72224099</t>
  </si>
  <si>
    <t>CASTRO ORELLANA DOLORES TRINIDAD</t>
  </si>
  <si>
    <t>GUAYAQUIL 1 Y SUCRE</t>
  </si>
  <si>
    <t>72224096</t>
  </si>
  <si>
    <t>JARA CASTRO ANGEL CRISTOBAL</t>
  </si>
  <si>
    <t>GANZHUN BAJO</t>
  </si>
  <si>
    <t>72224046</t>
  </si>
  <si>
    <t>TORRES CASTRO ROSA ELVIRA</t>
  </si>
  <si>
    <t>CRUZ LOMA 1 Y CRUZ LOMA</t>
  </si>
  <si>
    <t>72223872</t>
  </si>
  <si>
    <t>CASTRO CABRERA JULIO ERNESTO</t>
  </si>
  <si>
    <t>GUAYAQUIL Y ELOY ALFARO</t>
  </si>
  <si>
    <t>72223861</t>
  </si>
  <si>
    <t>CASTRO JARA JULIA MARGARITA</t>
  </si>
  <si>
    <t>ZHIO</t>
  </si>
  <si>
    <t>72223727</t>
  </si>
  <si>
    <t>CASTRO TELLO VICTOR MANUEL</t>
  </si>
  <si>
    <t>GUAYAQUIL 0 Y VIA PRINCIPAL</t>
  </si>
  <si>
    <t>72223702</t>
  </si>
  <si>
    <t>RODAS CASTRO LUZ EVANGELINA</t>
  </si>
  <si>
    <t>RODRIGO BORJA 1 Y CARLOS SERRANO</t>
  </si>
  <si>
    <t>72223673</t>
  </si>
  <si>
    <t>MARIA ROSA ELVIRA CASTRO VERA</t>
  </si>
  <si>
    <t>JUAN BAUTISTA COBOS 0 C Y TEODORO WOLF</t>
  </si>
  <si>
    <t>72223433</t>
  </si>
  <si>
    <t>BLANCA BEATRIZ LEON CASTRO</t>
  </si>
  <si>
    <t>SECTOR ZHAURIZHIN 0 N Y SECTOR ZHAURIZHIN casa 1p beigue con cafe frente al se�or juan arevalo beigue con cafe frente al se�or juan arevalo</t>
  </si>
  <si>
    <t>72223428</t>
  </si>
  <si>
    <t>MANUEL REINALDO CASTRO ORELLANA</t>
  </si>
  <si>
    <t>VIA A RAMOS 0 Y AV. 15 DE ABRIL</t>
  </si>
  <si>
    <t>72223353</t>
  </si>
  <si>
    <t>CASTRO GALARZA FRANKLIN DEIFILIO</t>
  </si>
  <si>
    <t>JUAN BAUTISTA COBOS 1 Y 4 DE OCTUBRE</t>
  </si>
  <si>
    <t>72223333</t>
  </si>
  <si>
    <t>ORELLANA CASTRO LUCIA CAYETANA</t>
  </si>
  <si>
    <t>GUAYAQUIL 24 DE MAYO</t>
  </si>
  <si>
    <t>72223291</t>
  </si>
  <si>
    <t>CASTRO LOZANO ZOILA ALCIRA</t>
  </si>
  <si>
    <t>SECTOR ZHAURIZHIN 0 A 30 MTS DE LA DIRECCION ACTUAL CASA TECHO ROJO DE 2 PISOS A 50 MTS. DE LA CANCHA</t>
  </si>
  <si>
    <t>72223226</t>
  </si>
  <si>
    <t>ELOY ALFARO JUAN BAUTISTA COB</t>
  </si>
  <si>
    <t>72223164</t>
  </si>
  <si>
    <t>SIGUENZA CASTRO CARLOS AURELIO</t>
  </si>
  <si>
    <t>5 DE FEBRERO Y J B COBOS</t>
  </si>
  <si>
    <t>72223022</t>
  </si>
  <si>
    <t>CASTRO MONTENEGRO MIGUEL ANGEL SALVADOR</t>
  </si>
  <si>
    <t>GUAYAQUIL 1 Y 15 DE OCTUBRE</t>
  </si>
  <si>
    <t>72223019</t>
  </si>
  <si>
    <t>CASTRO CARDENAS RAUL MARCELO</t>
  </si>
  <si>
    <t>6 DE FEBRERO GUAYAQUIL</t>
  </si>
  <si>
    <t>72180041</t>
  </si>
  <si>
    <t>BERTHA NOEMI ORELLANA CASTRO</t>
  </si>
  <si>
    <t>BULAN 0 CRUZHUAYCO A 50 MTRS DE LA CRUZ DEL SECTOR. CRUZHUAYCO A 50 MTRS DE LA CRUZ DEL SECTOR.</t>
  </si>
  <si>
    <t>72173269</t>
  </si>
  <si>
    <t>CASTRO URDIALES PETRA AMADA</t>
  </si>
  <si>
    <t>SECTOR MAYUNTUR</t>
  </si>
  <si>
    <t>72171205</t>
  </si>
  <si>
    <t>CASTRO CEDE�O ANDRES EDUARDO</t>
  </si>
  <si>
    <t>SECTOR BULLCAY SAN PEDRO 0 DETRAS DE LA HOSTERIA ARHANA CASA 1P BEIGE DETRAS DE LA HOSTERIA ARHANA CASA 1P BEIGE</t>
  </si>
  <si>
    <t>BULLCAY</t>
  </si>
  <si>
    <t>72100236</t>
  </si>
  <si>
    <t>FRANKLIN MAURICIO CASTRO NARANJO</t>
  </si>
  <si>
    <t>TOBACHIRI CHICO VIA S ANTONIO EL PORTON 0</t>
  </si>
  <si>
    <t>72100111</t>
  </si>
  <si>
    <t>ELVA MARINA CASTRO NARANJO</t>
  </si>
  <si>
    <t>SECTOR TOBACHIRI</t>
  </si>
  <si>
    <t>72100077</t>
  </si>
  <si>
    <t>MIRIAM LEONELA BARRETO CASTRO</t>
  </si>
  <si>
    <t>TOBACHIRI CHICO 0 Y CENTRO CASA DE DOS PISOS COLOR TOMATE TOBACHIRI CHICO</t>
  </si>
  <si>
    <t>72100029</t>
  </si>
  <si>
    <t>NIGUELA CASTRO CARLOS MANUEL</t>
  </si>
  <si>
    <t>LENTAG</t>
  </si>
  <si>
    <t>Total de números por Localidad</t>
  </si>
  <si>
    <t>Total general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</si>
</sst>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rgb="FFFFC000"/>
        <bgColor indexed="64"/>
      </patternFill>
    </fill>
  </fills>
  <borders count="3">
    <border>
      <left/>
      <right/>
      <top/>
      <bottom/>
      <diagonal/>
    </border>
    <border>
      <left style="thin">
        <color rgb="FFFFA500"/>
      </left>
      <right style="thin">
        <color rgb="FFFFA500"/>
      </right>
      <top style="thin">
        <color rgb="FFFFA500"/>
      </top>
      <bottom style="thin">
        <color rgb="FFFFA500"/>
      </bottom>
      <diagonal/>
    </border>
    <border>
      <left style="thin">
        <color rgb="FFA9A9A9"/>
      </left>
      <right style="thin">
        <color rgb="FFA9A9A9"/>
      </right>
      <top style="thin">
        <color rgb="FFA9A9A9"/>
      </top>
      <bottom style="thin">
        <color rgb="FFA9A9A9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2" fillId="0" borderId="0" xfId="0" applyFont="1"/>
    <xf numFmtId="0" fontId="3" fillId="3" borderId="1" xfId="0" applyFont="1" applyFill="1" applyBorder="1"/>
    <xf numFmtId="0" fontId="1" fillId="2" borderId="2" xfId="0" applyFont="1" applyFill="1" applyBorder="1"/>
    <xf numFmtId="0" fontId="0" fillId="0" borderId="2" xfId="0" applyBorder="1"/>
    <xf numFmtId="0" fontId="0" fillId="0" borderId="1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E210"/>
  <sheetViews>
    <sheetView tabSelected="1" workbookViewId="0">
      <selection activeCell="D7" activeCellId="1" sqref="D7 D7"/>
    </sheetView>
  </sheetViews>
  <sheetFormatPr baseColWidth="10" defaultColWidth="255" defaultRowHeight="15" x14ac:dyDescent="0.25"/>
  <cols>
    <col min="1" max="1" width="22.7109375" bestFit="1" customWidth="1"/>
    <col min="2" max="3" width="14.140625" customWidth="1"/>
    <col min="4" max="4" width="33.85546875" bestFit="1" customWidth="1"/>
  </cols>
  <sheetData>
    <row r="1" spans="1:5" s="2" customFormat="1" x14ac:dyDescent="0.25">
      <c r="A1" s="4" t="s">
        <v>0</v>
      </c>
      <c r="B1" s="4" t="s">
        <v>1</v>
      </c>
      <c r="C1" s="4" t="s">
        <v>2</v>
      </c>
      <c r="D1" s="4" t="s">
        <v>3</v>
      </c>
    </row>
    <row r="2" spans="1:5" x14ac:dyDescent="0.25">
      <c r="A2" s="5" t="s">
        <v>97</v>
      </c>
      <c r="B2" s="5" t="s">
        <v>98</v>
      </c>
      <c r="C2" s="5" t="s">
        <v>99</v>
      </c>
      <c r="D2" s="5" t="s">
        <v>100</v>
      </c>
      <c r="E2" s="1">
        <f>COUNTA(D2:D1000)</f>
        <v>120</v>
      </c>
    </row>
    <row r="3" spans="1:5" x14ac:dyDescent="0.25">
      <c r="A3" s="5" t="s">
        <v>123</v>
      </c>
      <c r="B3" s="5" t="s">
        <v>124</v>
      </c>
      <c r="C3" s="5" t="s">
        <v>125</v>
      </c>
      <c r="D3" s="5" t="s">
        <v>126</v>
      </c>
      <c r="E3" s="1">
        <f>COUNTIF(D2:D1000,"Localidad")</f>
        <v>0</v>
      </c>
    </row>
    <row r="4" spans="1:5" x14ac:dyDescent="0.25">
      <c r="A4" s="5" t="s">
        <v>131</v>
      </c>
      <c r="B4" s="5" t="s">
        <v>132</v>
      </c>
      <c r="C4" s="5" t="s">
        <v>17</v>
      </c>
      <c r="D4" s="5" t="s">
        <v>126</v>
      </c>
      <c r="E4" s="1">
        <f>COUNTIF(D2:D1000,":: DATOS TELEFONICOS ::")</f>
        <v>0</v>
      </c>
    </row>
    <row r="5" spans="1:5" x14ac:dyDescent="0.25">
      <c r="A5" s="5" t="s">
        <v>67</v>
      </c>
      <c r="B5" s="5" t="s">
        <v>68</v>
      </c>
      <c r="C5" s="5" t="s">
        <v>69</v>
      </c>
      <c r="D5" s="5" t="s">
        <v>70</v>
      </c>
      <c r="E5" s="1">
        <f>COUNTIF(D2:D1000,":: No hay teléfonos con estos datos ::")</f>
        <v>0</v>
      </c>
    </row>
    <row r="6" spans="1:5" x14ac:dyDescent="0.25">
      <c r="A6" s="5" t="s">
        <v>71</v>
      </c>
      <c r="B6" s="5" t="s">
        <v>72</v>
      </c>
      <c r="C6" s="5" t="s">
        <v>73</v>
      </c>
      <c r="D6" s="5" t="s">
        <v>70</v>
      </c>
      <c r="E6" s="1"/>
    </row>
    <row r="7" spans="1:5" x14ac:dyDescent="0.25">
      <c r="A7" s="5" t="s">
        <v>224</v>
      </c>
      <c r="B7" s="5" t="s">
        <v>225</v>
      </c>
      <c r="C7" s="5" t="s">
        <v>226</v>
      </c>
      <c r="D7" s="5" t="s">
        <v>70</v>
      </c>
      <c r="E7" s="1">
        <f>E2-E4-E5-E3</f>
        <v>120</v>
      </c>
    </row>
    <row r="8" spans="1:5" x14ac:dyDescent="0.25">
      <c r="A8" s="5" t="s">
        <v>227</v>
      </c>
      <c r="B8" s="5" t="s">
        <v>228</v>
      </c>
      <c r="C8" s="5" t="s">
        <v>229</v>
      </c>
      <c r="D8" s="5" t="s">
        <v>70</v>
      </c>
      <c r="E8" s="1" t="str">
        <f>IF(E7&lt;=1,"No existen contactos","Numero de contactos :"&amp;E7)</f>
        <v>Numero de contactos :120</v>
      </c>
    </row>
    <row r="9" spans="1:5" x14ac:dyDescent="0.25">
      <c r="A9" s="5" t="s">
        <v>233</v>
      </c>
      <c r="B9" s="5" t="s">
        <v>234</v>
      </c>
      <c r="C9" s="5" t="s">
        <v>235</v>
      </c>
      <c r="D9" s="5" t="s">
        <v>70</v>
      </c>
    </row>
    <row r="10" spans="1:5" x14ac:dyDescent="0.25">
      <c r="A10" s="5" t="s">
        <v>236</v>
      </c>
      <c r="B10" s="5" t="s">
        <v>237</v>
      </c>
      <c r="C10" s="5" t="s">
        <v>69</v>
      </c>
      <c r="D10" s="5" t="s">
        <v>70</v>
      </c>
    </row>
    <row r="11" spans="1:5" x14ac:dyDescent="0.25">
      <c r="A11" s="5" t="s">
        <v>238</v>
      </c>
      <c r="B11" s="5" t="s">
        <v>239</v>
      </c>
      <c r="C11" s="5" t="s">
        <v>240</v>
      </c>
      <c r="D11" s="5" t="s">
        <v>70</v>
      </c>
    </row>
    <row r="12" spans="1:5" x14ac:dyDescent="0.25">
      <c r="A12" s="5" t="s">
        <v>241</v>
      </c>
      <c r="B12" s="5" t="s">
        <v>242</v>
      </c>
      <c r="C12" s="5" t="s">
        <v>243</v>
      </c>
      <c r="D12" s="5" t="s">
        <v>70</v>
      </c>
    </row>
    <row r="13" spans="1:5" x14ac:dyDescent="0.25">
      <c r="A13" s="5" t="s">
        <v>244</v>
      </c>
      <c r="B13" s="5" t="s">
        <v>245</v>
      </c>
      <c r="C13" s="5" t="s">
        <v>246</v>
      </c>
      <c r="D13" s="5" t="s">
        <v>70</v>
      </c>
    </row>
    <row r="14" spans="1:5" x14ac:dyDescent="0.25">
      <c r="A14" s="5" t="s">
        <v>247</v>
      </c>
      <c r="B14" s="5" t="s">
        <v>248</v>
      </c>
      <c r="C14" s="5" t="s">
        <v>249</v>
      </c>
      <c r="D14" s="5" t="s">
        <v>70</v>
      </c>
    </row>
    <row r="15" spans="1:5" x14ac:dyDescent="0.25">
      <c r="A15" s="5" t="s">
        <v>101</v>
      </c>
      <c r="B15" s="5" t="s">
        <v>102</v>
      </c>
      <c r="C15" s="5" t="s">
        <v>103</v>
      </c>
      <c r="D15" s="5" t="s">
        <v>104</v>
      </c>
    </row>
    <row r="16" spans="1:5" x14ac:dyDescent="0.25">
      <c r="A16" s="5" t="s">
        <v>105</v>
      </c>
      <c r="B16" s="5" t="s">
        <v>106</v>
      </c>
      <c r="C16" s="5" t="s">
        <v>107</v>
      </c>
      <c r="D16" s="5" t="s">
        <v>104</v>
      </c>
    </row>
    <row r="17" spans="1:4" x14ac:dyDescent="0.25">
      <c r="A17" s="5" t="s">
        <v>108</v>
      </c>
      <c r="B17" s="5" t="s">
        <v>109</v>
      </c>
      <c r="C17" s="5" t="s">
        <v>110</v>
      </c>
      <c r="D17" s="5" t="s">
        <v>104</v>
      </c>
    </row>
    <row r="18" spans="1:4" x14ac:dyDescent="0.25">
      <c r="A18" s="5" t="s">
        <v>111</v>
      </c>
      <c r="B18" s="5" t="s">
        <v>112</v>
      </c>
      <c r="C18" s="5" t="s">
        <v>113</v>
      </c>
      <c r="D18" s="5" t="s">
        <v>104</v>
      </c>
    </row>
    <row r="19" spans="1:4" x14ac:dyDescent="0.25">
      <c r="A19" s="5" t="s">
        <v>209</v>
      </c>
      <c r="B19" s="5" t="s">
        <v>210</v>
      </c>
      <c r="C19" s="5" t="s">
        <v>211</v>
      </c>
      <c r="D19" s="5" t="s">
        <v>104</v>
      </c>
    </row>
    <row r="20" spans="1:4" x14ac:dyDescent="0.25">
      <c r="A20" s="5" t="s">
        <v>212</v>
      </c>
      <c r="B20" s="5" t="s">
        <v>213</v>
      </c>
      <c r="C20" s="5" t="s">
        <v>214</v>
      </c>
      <c r="D20" s="5" t="s">
        <v>104</v>
      </c>
    </row>
    <row r="21" spans="1:4" x14ac:dyDescent="0.25">
      <c r="A21" s="5" t="s">
        <v>215</v>
      </c>
      <c r="B21" s="5" t="s">
        <v>216</v>
      </c>
      <c r="C21" s="5" t="s">
        <v>217</v>
      </c>
      <c r="D21" s="5" t="s">
        <v>104</v>
      </c>
    </row>
    <row r="22" spans="1:4" x14ac:dyDescent="0.25">
      <c r="A22" s="5" t="s">
        <v>218</v>
      </c>
      <c r="B22" s="5" t="s">
        <v>219</v>
      </c>
      <c r="C22" s="5" t="s">
        <v>220</v>
      </c>
      <c r="D22" s="5" t="s">
        <v>104</v>
      </c>
    </row>
    <row r="23" spans="1:4" x14ac:dyDescent="0.25">
      <c r="A23" s="5" t="s">
        <v>127</v>
      </c>
      <c r="B23" s="5" t="s">
        <v>128</v>
      </c>
      <c r="C23" s="5" t="s">
        <v>129</v>
      </c>
      <c r="D23" s="5" t="s">
        <v>130</v>
      </c>
    </row>
    <row r="24" spans="1:4" x14ac:dyDescent="0.25">
      <c r="A24" s="5" t="s">
        <v>179</v>
      </c>
      <c r="B24" s="5" t="s">
        <v>180</v>
      </c>
      <c r="C24" s="5" t="s">
        <v>181</v>
      </c>
      <c r="D24" s="5" t="s">
        <v>182</v>
      </c>
    </row>
    <row r="25" spans="1:4" x14ac:dyDescent="0.25">
      <c r="A25" s="5" t="s">
        <v>183</v>
      </c>
      <c r="B25" s="5" t="s">
        <v>184</v>
      </c>
      <c r="C25" s="5" t="s">
        <v>185</v>
      </c>
      <c r="D25" s="5" t="s">
        <v>182</v>
      </c>
    </row>
    <row r="26" spans="1:4" x14ac:dyDescent="0.25">
      <c r="A26" s="5" t="s">
        <v>186</v>
      </c>
      <c r="B26" s="5" t="s">
        <v>187</v>
      </c>
      <c r="C26" s="5" t="s">
        <v>188</v>
      </c>
      <c r="D26" s="5" t="s">
        <v>182</v>
      </c>
    </row>
    <row r="27" spans="1:4" x14ac:dyDescent="0.25">
      <c r="A27" s="5" t="s">
        <v>189</v>
      </c>
      <c r="B27" s="5" t="s">
        <v>190</v>
      </c>
      <c r="C27" s="5" t="s">
        <v>191</v>
      </c>
      <c r="D27" s="5" t="s">
        <v>182</v>
      </c>
    </row>
    <row r="28" spans="1:4" x14ac:dyDescent="0.25">
      <c r="A28" s="5" t="s">
        <v>192</v>
      </c>
      <c r="B28" s="5" t="s">
        <v>193</v>
      </c>
      <c r="C28" s="5" t="s">
        <v>194</v>
      </c>
      <c r="D28" s="5" t="s">
        <v>182</v>
      </c>
    </row>
    <row r="29" spans="1:4" x14ac:dyDescent="0.25">
      <c r="A29" s="5" t="s">
        <v>195</v>
      </c>
      <c r="B29" s="5" t="s">
        <v>196</v>
      </c>
      <c r="C29" s="5" t="s">
        <v>197</v>
      </c>
      <c r="D29" s="5" t="s">
        <v>182</v>
      </c>
    </row>
    <row r="30" spans="1:4" x14ac:dyDescent="0.25">
      <c r="A30" s="5" t="s">
        <v>198</v>
      </c>
      <c r="B30" s="5" t="s">
        <v>199</v>
      </c>
      <c r="C30" s="5" t="s">
        <v>200</v>
      </c>
      <c r="D30" s="5" t="s">
        <v>182</v>
      </c>
    </row>
    <row r="31" spans="1:4" x14ac:dyDescent="0.25">
      <c r="A31" s="5" t="s">
        <v>201</v>
      </c>
      <c r="B31" s="5" t="s">
        <v>202</v>
      </c>
      <c r="C31" s="5" t="s">
        <v>203</v>
      </c>
      <c r="D31" s="5" t="s">
        <v>182</v>
      </c>
    </row>
    <row r="32" spans="1:4" x14ac:dyDescent="0.25">
      <c r="A32" s="5" t="s">
        <v>204</v>
      </c>
      <c r="B32" s="5" t="s">
        <v>205</v>
      </c>
      <c r="C32" s="5" t="s">
        <v>6</v>
      </c>
      <c r="D32" s="5" t="s">
        <v>182</v>
      </c>
    </row>
    <row r="33" spans="1:4" x14ac:dyDescent="0.25">
      <c r="A33" s="5" t="s">
        <v>206</v>
      </c>
      <c r="B33" s="5" t="s">
        <v>207</v>
      </c>
      <c r="C33" s="5" t="s">
        <v>208</v>
      </c>
      <c r="D33" s="5" t="s">
        <v>182</v>
      </c>
    </row>
    <row r="34" spans="1:4" x14ac:dyDescent="0.25">
      <c r="A34" s="5" t="s">
        <v>81</v>
      </c>
      <c r="B34" s="5" t="s">
        <v>82</v>
      </c>
      <c r="C34" s="5" t="s">
        <v>83</v>
      </c>
      <c r="D34" s="5" t="s">
        <v>84</v>
      </c>
    </row>
    <row r="35" spans="1:4" x14ac:dyDescent="0.25">
      <c r="A35" s="5" t="s">
        <v>42</v>
      </c>
      <c r="B35" s="5" t="s">
        <v>43</v>
      </c>
      <c r="C35" s="5" t="s">
        <v>44</v>
      </c>
      <c r="D35" s="5" t="s">
        <v>45</v>
      </c>
    </row>
    <row r="36" spans="1:4" x14ac:dyDescent="0.25">
      <c r="A36" s="5" t="s">
        <v>143</v>
      </c>
      <c r="B36" s="5" t="s">
        <v>144</v>
      </c>
      <c r="C36" s="5" t="s">
        <v>145</v>
      </c>
      <c r="D36" s="5" t="s">
        <v>45</v>
      </c>
    </row>
    <row r="37" spans="1:4" x14ac:dyDescent="0.25">
      <c r="A37" s="5" t="s">
        <v>46</v>
      </c>
      <c r="B37" s="5" t="s">
        <v>47</v>
      </c>
      <c r="C37" s="5" t="s">
        <v>48</v>
      </c>
      <c r="D37" s="5" t="s">
        <v>49</v>
      </c>
    </row>
    <row r="38" spans="1:4" x14ac:dyDescent="0.25">
      <c r="A38" s="5" t="s">
        <v>117</v>
      </c>
      <c r="B38" s="5" t="s">
        <v>118</v>
      </c>
      <c r="C38" s="5" t="s">
        <v>119</v>
      </c>
      <c r="D38" s="5" t="s">
        <v>49</v>
      </c>
    </row>
    <row r="39" spans="1:4" x14ac:dyDescent="0.25">
      <c r="A39" s="5" t="s">
        <v>120</v>
      </c>
      <c r="B39" s="5" t="s">
        <v>121</v>
      </c>
      <c r="C39" s="5" t="s">
        <v>122</v>
      </c>
      <c r="D39" s="5" t="s">
        <v>49</v>
      </c>
    </row>
    <row r="40" spans="1:4" x14ac:dyDescent="0.25">
      <c r="A40" s="5" t="s">
        <v>137</v>
      </c>
      <c r="B40" s="5" t="s">
        <v>138</v>
      </c>
      <c r="C40" s="5" t="s">
        <v>139</v>
      </c>
      <c r="D40" s="5" t="s">
        <v>49</v>
      </c>
    </row>
    <row r="41" spans="1:4" x14ac:dyDescent="0.25">
      <c r="A41" s="5" t="s">
        <v>140</v>
      </c>
      <c r="B41" s="5" t="s">
        <v>141</v>
      </c>
      <c r="C41" s="5" t="s">
        <v>142</v>
      </c>
      <c r="D41" s="5" t="s">
        <v>49</v>
      </c>
    </row>
    <row r="42" spans="1:4" x14ac:dyDescent="0.25">
      <c r="A42" s="5" t="s">
        <v>294</v>
      </c>
      <c r="B42" s="5" t="s">
        <v>295</v>
      </c>
      <c r="C42" s="5" t="s">
        <v>296</v>
      </c>
      <c r="D42" s="5" t="s">
        <v>49</v>
      </c>
    </row>
    <row r="43" spans="1:4" x14ac:dyDescent="0.25">
      <c r="A43" s="5" t="s">
        <v>297</v>
      </c>
      <c r="B43" s="5" t="s">
        <v>298</v>
      </c>
      <c r="C43" s="5" t="s">
        <v>299</v>
      </c>
      <c r="D43" s="5" t="s">
        <v>49</v>
      </c>
    </row>
    <row r="44" spans="1:4" x14ac:dyDescent="0.25">
      <c r="A44" s="5" t="s">
        <v>350</v>
      </c>
      <c r="B44" s="5" t="s">
        <v>351</v>
      </c>
      <c r="C44" s="5" t="s">
        <v>352</v>
      </c>
      <c r="D44" s="5" t="s">
        <v>49</v>
      </c>
    </row>
    <row r="45" spans="1:4" x14ac:dyDescent="0.25">
      <c r="A45" s="5" t="s">
        <v>133</v>
      </c>
      <c r="B45" s="5" t="s">
        <v>134</v>
      </c>
      <c r="C45" s="5" t="s">
        <v>135</v>
      </c>
      <c r="D45" s="5" t="s">
        <v>136</v>
      </c>
    </row>
    <row r="46" spans="1:4" x14ac:dyDescent="0.25">
      <c r="A46" s="5" t="s">
        <v>57</v>
      </c>
      <c r="B46" s="5" t="s">
        <v>58</v>
      </c>
      <c r="C46" s="5" t="s">
        <v>59</v>
      </c>
      <c r="D46" s="5" t="s">
        <v>60</v>
      </c>
    </row>
    <row r="47" spans="1:4" x14ac:dyDescent="0.25">
      <c r="A47" s="5" t="s">
        <v>30</v>
      </c>
      <c r="B47" s="5" t="s">
        <v>31</v>
      </c>
      <c r="C47" s="5" t="s">
        <v>32</v>
      </c>
      <c r="D47" s="5" t="s">
        <v>33</v>
      </c>
    </row>
    <row r="48" spans="1:4" x14ac:dyDescent="0.25">
      <c r="A48" s="5" t="s">
        <v>250</v>
      </c>
      <c r="B48" s="5" t="s">
        <v>251</v>
      </c>
      <c r="C48" s="5" t="s">
        <v>252</v>
      </c>
      <c r="D48" s="5" t="s">
        <v>33</v>
      </c>
    </row>
    <row r="49" spans="1:4" x14ac:dyDescent="0.25">
      <c r="A49" s="5" t="s">
        <v>253</v>
      </c>
      <c r="B49" s="5" t="s">
        <v>254</v>
      </c>
      <c r="C49" s="5" t="s">
        <v>255</v>
      </c>
      <c r="D49" s="5" t="s">
        <v>33</v>
      </c>
    </row>
    <row r="50" spans="1:4" x14ac:dyDescent="0.25">
      <c r="A50" s="5" t="s">
        <v>256</v>
      </c>
      <c r="B50" s="5" t="s">
        <v>257</v>
      </c>
      <c r="C50" s="5" t="s">
        <v>258</v>
      </c>
      <c r="D50" s="5" t="s">
        <v>33</v>
      </c>
    </row>
    <row r="51" spans="1:4" x14ac:dyDescent="0.25">
      <c r="A51" s="5" t="s">
        <v>259</v>
      </c>
      <c r="B51" s="5" t="s">
        <v>260</v>
      </c>
      <c r="C51" s="5" t="s">
        <v>33</v>
      </c>
      <c r="D51" s="5" t="s">
        <v>33</v>
      </c>
    </row>
    <row r="52" spans="1:4" x14ac:dyDescent="0.25">
      <c r="A52" s="5" t="s">
        <v>261</v>
      </c>
      <c r="B52" s="5" t="s">
        <v>262</v>
      </c>
      <c r="C52" s="5" t="s">
        <v>263</v>
      </c>
      <c r="D52" s="5" t="s">
        <v>33</v>
      </c>
    </row>
    <row r="53" spans="1:4" x14ac:dyDescent="0.25">
      <c r="A53" s="5" t="s">
        <v>264</v>
      </c>
      <c r="B53" s="5" t="s">
        <v>265</v>
      </c>
      <c r="C53" s="5" t="s">
        <v>266</v>
      </c>
      <c r="D53" s="5" t="s">
        <v>33</v>
      </c>
    </row>
    <row r="54" spans="1:4" x14ac:dyDescent="0.25">
      <c r="A54" s="5" t="s">
        <v>363</v>
      </c>
      <c r="B54" s="5" t="s">
        <v>364</v>
      </c>
      <c r="C54" s="5" t="s">
        <v>365</v>
      </c>
      <c r="D54" s="5" t="s">
        <v>33</v>
      </c>
    </row>
    <row r="55" spans="1:4" x14ac:dyDescent="0.25">
      <c r="A55" s="5" t="s">
        <v>366</v>
      </c>
      <c r="B55" s="5" t="s">
        <v>367</v>
      </c>
      <c r="C55" s="5" t="s">
        <v>368</v>
      </c>
      <c r="D55" s="5" t="s">
        <v>33</v>
      </c>
    </row>
    <row r="56" spans="1:4" x14ac:dyDescent="0.25">
      <c r="A56" s="5" t="s">
        <v>369</v>
      </c>
      <c r="B56" s="5" t="s">
        <v>370</v>
      </c>
      <c r="C56" s="5" t="s">
        <v>371</v>
      </c>
      <c r="D56" s="5" t="s">
        <v>33</v>
      </c>
    </row>
    <row r="57" spans="1:4" x14ac:dyDescent="0.25">
      <c r="A57" s="5" t="s">
        <v>77</v>
      </c>
      <c r="B57" s="5" t="s">
        <v>78</v>
      </c>
      <c r="C57" s="5" t="s">
        <v>79</v>
      </c>
      <c r="D57" s="5" t="s">
        <v>80</v>
      </c>
    </row>
    <row r="58" spans="1:4" x14ac:dyDescent="0.25">
      <c r="A58" s="5" t="s">
        <v>146</v>
      </c>
      <c r="B58" s="5" t="s">
        <v>147</v>
      </c>
      <c r="C58" s="5" t="s">
        <v>148</v>
      </c>
      <c r="D58" s="5" t="s">
        <v>80</v>
      </c>
    </row>
    <row r="59" spans="1:4" x14ac:dyDescent="0.25">
      <c r="A59" s="5" t="s">
        <v>149</v>
      </c>
      <c r="B59" s="5" t="s">
        <v>150</v>
      </c>
      <c r="C59" s="5" t="s">
        <v>151</v>
      </c>
      <c r="D59" s="5" t="s">
        <v>80</v>
      </c>
    </row>
    <row r="60" spans="1:4" x14ac:dyDescent="0.25">
      <c r="A60" s="5" t="s">
        <v>152</v>
      </c>
      <c r="B60" s="5" t="s">
        <v>153</v>
      </c>
      <c r="C60" s="5" t="s">
        <v>151</v>
      </c>
      <c r="D60" s="5" t="s">
        <v>80</v>
      </c>
    </row>
    <row r="61" spans="1:4" x14ac:dyDescent="0.25">
      <c r="A61" s="5" t="s">
        <v>154</v>
      </c>
      <c r="B61" s="5" t="s">
        <v>155</v>
      </c>
      <c r="C61" s="5" t="s">
        <v>148</v>
      </c>
      <c r="D61" s="5" t="s">
        <v>80</v>
      </c>
    </row>
    <row r="62" spans="1:4" x14ac:dyDescent="0.25">
      <c r="A62" s="5" t="s">
        <v>156</v>
      </c>
      <c r="B62" s="5" t="s">
        <v>157</v>
      </c>
      <c r="C62" s="5" t="s">
        <v>158</v>
      </c>
      <c r="D62" s="5" t="s">
        <v>80</v>
      </c>
    </row>
    <row r="63" spans="1:4" x14ac:dyDescent="0.25">
      <c r="A63" s="5" t="s">
        <v>159</v>
      </c>
      <c r="B63" s="5" t="s">
        <v>160</v>
      </c>
      <c r="C63" s="5" t="s">
        <v>161</v>
      </c>
      <c r="D63" s="5" t="s">
        <v>80</v>
      </c>
    </row>
    <row r="64" spans="1:4" x14ac:dyDescent="0.25">
      <c r="A64" s="5" t="s">
        <v>162</v>
      </c>
      <c r="B64" s="5" t="s">
        <v>163</v>
      </c>
      <c r="C64" s="5" t="s">
        <v>164</v>
      </c>
      <c r="D64" s="5" t="s">
        <v>80</v>
      </c>
    </row>
    <row r="65" spans="1:4" x14ac:dyDescent="0.25">
      <c r="A65" s="5" t="s">
        <v>165</v>
      </c>
      <c r="B65" s="5" t="s">
        <v>166</v>
      </c>
      <c r="C65" s="5" t="s">
        <v>164</v>
      </c>
      <c r="D65" s="5" t="s">
        <v>80</v>
      </c>
    </row>
    <row r="66" spans="1:4" x14ac:dyDescent="0.25">
      <c r="A66" s="5" t="s">
        <v>167</v>
      </c>
      <c r="B66" s="5" t="s">
        <v>168</v>
      </c>
      <c r="C66" s="5" t="s">
        <v>169</v>
      </c>
      <c r="D66" s="5" t="s">
        <v>80</v>
      </c>
    </row>
    <row r="67" spans="1:4" x14ac:dyDescent="0.25">
      <c r="A67" s="5" t="s">
        <v>170</v>
      </c>
      <c r="B67" s="5" t="s">
        <v>171</v>
      </c>
      <c r="C67" s="5" t="s">
        <v>169</v>
      </c>
      <c r="D67" s="5" t="s">
        <v>80</v>
      </c>
    </row>
    <row r="68" spans="1:4" x14ac:dyDescent="0.25">
      <c r="A68" s="5" t="s">
        <v>172</v>
      </c>
      <c r="B68" s="5" t="s">
        <v>173</v>
      </c>
      <c r="C68" s="5" t="s">
        <v>174</v>
      </c>
      <c r="D68" s="5" t="s">
        <v>80</v>
      </c>
    </row>
    <row r="69" spans="1:4" x14ac:dyDescent="0.25">
      <c r="A69" s="5" t="s">
        <v>221</v>
      </c>
      <c r="B69" s="5" t="s">
        <v>222</v>
      </c>
      <c r="C69" s="5" t="s">
        <v>223</v>
      </c>
      <c r="D69" s="5" t="s">
        <v>80</v>
      </c>
    </row>
    <row r="70" spans="1:4" x14ac:dyDescent="0.25">
      <c r="A70" s="5" t="s">
        <v>230</v>
      </c>
      <c r="B70" s="5" t="s">
        <v>231</v>
      </c>
      <c r="C70" s="5" t="s">
        <v>232</v>
      </c>
      <c r="D70" s="5" t="s">
        <v>80</v>
      </c>
    </row>
    <row r="71" spans="1:4" x14ac:dyDescent="0.25">
      <c r="A71" s="5" t="s">
        <v>4</v>
      </c>
      <c r="B71" s="5" t="s">
        <v>5</v>
      </c>
      <c r="C71" s="5" t="s">
        <v>6</v>
      </c>
      <c r="D71" s="5" t="s">
        <v>7</v>
      </c>
    </row>
    <row r="72" spans="1:4" x14ac:dyDescent="0.25">
      <c r="A72" s="5" t="s">
        <v>54</v>
      </c>
      <c r="B72" s="5" t="s">
        <v>55</v>
      </c>
      <c r="C72" s="5" t="s">
        <v>56</v>
      </c>
      <c r="D72" s="5" t="s">
        <v>7</v>
      </c>
    </row>
    <row r="73" spans="1:4" x14ac:dyDescent="0.25">
      <c r="A73" s="5" t="s">
        <v>74</v>
      </c>
      <c r="B73" s="5" t="s">
        <v>75</v>
      </c>
      <c r="C73" s="5" t="s">
        <v>76</v>
      </c>
      <c r="D73" s="5" t="s">
        <v>7</v>
      </c>
    </row>
    <row r="74" spans="1:4" x14ac:dyDescent="0.25">
      <c r="A74" s="5" t="s">
        <v>267</v>
      </c>
      <c r="B74" s="5" t="s">
        <v>268</v>
      </c>
      <c r="C74" s="5" t="s">
        <v>269</v>
      </c>
      <c r="D74" s="5" t="s">
        <v>7</v>
      </c>
    </row>
    <row r="75" spans="1:4" x14ac:dyDescent="0.25">
      <c r="A75" s="5" t="s">
        <v>270</v>
      </c>
      <c r="B75" s="5" t="s">
        <v>271</v>
      </c>
      <c r="C75" s="5" t="s">
        <v>272</v>
      </c>
      <c r="D75" s="5" t="s">
        <v>7</v>
      </c>
    </row>
    <row r="76" spans="1:4" x14ac:dyDescent="0.25">
      <c r="A76" s="5" t="s">
        <v>273</v>
      </c>
      <c r="B76" s="5" t="s">
        <v>274</v>
      </c>
      <c r="C76" s="5" t="s">
        <v>275</v>
      </c>
      <c r="D76" s="5" t="s">
        <v>7</v>
      </c>
    </row>
    <row r="77" spans="1:4" x14ac:dyDescent="0.25">
      <c r="A77" s="5" t="s">
        <v>276</v>
      </c>
      <c r="B77" s="5" t="s">
        <v>277</v>
      </c>
      <c r="C77" s="5" t="s">
        <v>278</v>
      </c>
      <c r="D77" s="5" t="s">
        <v>7</v>
      </c>
    </row>
    <row r="78" spans="1:4" x14ac:dyDescent="0.25">
      <c r="A78" s="5" t="s">
        <v>279</v>
      </c>
      <c r="B78" s="5" t="s">
        <v>280</v>
      </c>
      <c r="C78" s="5" t="s">
        <v>281</v>
      </c>
      <c r="D78" s="5" t="s">
        <v>7</v>
      </c>
    </row>
    <row r="79" spans="1:4" x14ac:dyDescent="0.25">
      <c r="A79" s="5" t="s">
        <v>282</v>
      </c>
      <c r="B79" s="5" t="s">
        <v>283</v>
      </c>
      <c r="C79" s="5" t="s">
        <v>284</v>
      </c>
      <c r="D79" s="5" t="s">
        <v>7</v>
      </c>
    </row>
    <row r="80" spans="1:4" x14ac:dyDescent="0.25">
      <c r="A80" s="5" t="s">
        <v>285</v>
      </c>
      <c r="B80" s="5" t="s">
        <v>286</v>
      </c>
      <c r="C80" s="5" t="s">
        <v>287</v>
      </c>
      <c r="D80" s="5" t="s">
        <v>7</v>
      </c>
    </row>
    <row r="81" spans="1:4" x14ac:dyDescent="0.25">
      <c r="A81" s="5" t="s">
        <v>288</v>
      </c>
      <c r="B81" s="5" t="s">
        <v>289</v>
      </c>
      <c r="C81" s="5" t="s">
        <v>290</v>
      </c>
      <c r="D81" s="5" t="s">
        <v>7</v>
      </c>
    </row>
    <row r="82" spans="1:4" x14ac:dyDescent="0.25">
      <c r="A82" s="5" t="s">
        <v>291</v>
      </c>
      <c r="B82" s="5" t="s">
        <v>292</v>
      </c>
      <c r="C82" s="5" t="s">
        <v>293</v>
      </c>
      <c r="D82" s="5" t="s">
        <v>7</v>
      </c>
    </row>
    <row r="83" spans="1:4" x14ac:dyDescent="0.25">
      <c r="A83" s="5" t="s">
        <v>353</v>
      </c>
      <c r="B83" s="5" t="s">
        <v>354</v>
      </c>
      <c r="C83" s="5" t="s">
        <v>355</v>
      </c>
      <c r="D83" s="5" t="s">
        <v>7</v>
      </c>
    </row>
    <row r="84" spans="1:4" x14ac:dyDescent="0.25">
      <c r="A84" s="5" t="s">
        <v>175</v>
      </c>
      <c r="B84" s="5" t="s">
        <v>176</v>
      </c>
      <c r="C84" s="5" t="s">
        <v>177</v>
      </c>
      <c r="D84" s="5" t="s">
        <v>178</v>
      </c>
    </row>
    <row r="85" spans="1:4" x14ac:dyDescent="0.25">
      <c r="A85" s="5" t="s">
        <v>34</v>
      </c>
      <c r="B85" s="5" t="s">
        <v>35</v>
      </c>
      <c r="C85" s="5" t="s">
        <v>36</v>
      </c>
      <c r="D85" s="5" t="s">
        <v>37</v>
      </c>
    </row>
    <row r="86" spans="1:4" x14ac:dyDescent="0.25">
      <c r="A86" s="5" t="s">
        <v>38</v>
      </c>
      <c r="B86" s="5" t="s">
        <v>39</v>
      </c>
      <c r="C86" s="5" t="s">
        <v>40</v>
      </c>
      <c r="D86" s="5" t="s">
        <v>37</v>
      </c>
    </row>
    <row r="87" spans="1:4" x14ac:dyDescent="0.25">
      <c r="A87" s="5" t="s">
        <v>41</v>
      </c>
      <c r="B87" s="5" t="s">
        <v>39</v>
      </c>
      <c r="C87" s="5" t="s">
        <v>40</v>
      </c>
      <c r="D87" s="5" t="s">
        <v>37</v>
      </c>
    </row>
    <row r="88" spans="1:4" x14ac:dyDescent="0.25">
      <c r="A88" s="5" t="s">
        <v>114</v>
      </c>
      <c r="B88" s="5" t="s">
        <v>115</v>
      </c>
      <c r="C88" s="5" t="s">
        <v>116</v>
      </c>
      <c r="D88" s="5" t="s">
        <v>37</v>
      </c>
    </row>
    <row r="89" spans="1:4" x14ac:dyDescent="0.25">
      <c r="A89" s="5" t="s">
        <v>360</v>
      </c>
      <c r="B89" s="5" t="s">
        <v>361</v>
      </c>
      <c r="C89" s="5" t="s">
        <v>362</v>
      </c>
      <c r="D89" s="5" t="s">
        <v>37</v>
      </c>
    </row>
    <row r="90" spans="1:4" x14ac:dyDescent="0.25">
      <c r="A90" s="5" t="s">
        <v>15</v>
      </c>
      <c r="B90" s="5" t="s">
        <v>16</v>
      </c>
      <c r="C90" s="5" t="s">
        <v>17</v>
      </c>
      <c r="D90" s="5" t="s">
        <v>18</v>
      </c>
    </row>
    <row r="91" spans="1:4" x14ac:dyDescent="0.25">
      <c r="A91" s="5" t="s">
        <v>19</v>
      </c>
      <c r="B91" s="5" t="s">
        <v>20</v>
      </c>
      <c r="C91" s="5" t="s">
        <v>17</v>
      </c>
      <c r="D91" s="5" t="s">
        <v>18</v>
      </c>
    </row>
    <row r="92" spans="1:4" x14ac:dyDescent="0.25">
      <c r="A92" s="5" t="s">
        <v>50</v>
      </c>
      <c r="B92" s="5" t="s">
        <v>51</v>
      </c>
      <c r="C92" s="5" t="s">
        <v>52</v>
      </c>
      <c r="D92" s="5" t="s">
        <v>53</v>
      </c>
    </row>
    <row r="93" spans="1:4" x14ac:dyDescent="0.25">
      <c r="A93" s="5" t="s">
        <v>85</v>
      </c>
      <c r="B93" s="5" t="s">
        <v>86</v>
      </c>
      <c r="C93" s="5" t="s">
        <v>87</v>
      </c>
      <c r="D93" s="5" t="s">
        <v>53</v>
      </c>
    </row>
    <row r="94" spans="1:4" x14ac:dyDescent="0.25">
      <c r="A94" s="5" t="s">
        <v>88</v>
      </c>
      <c r="B94" s="5" t="s">
        <v>89</v>
      </c>
      <c r="C94" s="5" t="s">
        <v>90</v>
      </c>
      <c r="D94" s="5" t="s">
        <v>53</v>
      </c>
    </row>
    <row r="95" spans="1:4" x14ac:dyDescent="0.25">
      <c r="A95" s="5" t="s">
        <v>91</v>
      </c>
      <c r="B95" s="5" t="s">
        <v>92</v>
      </c>
      <c r="C95" s="5" t="s">
        <v>93</v>
      </c>
      <c r="D95" s="5" t="s">
        <v>53</v>
      </c>
    </row>
    <row r="96" spans="1:4" x14ac:dyDescent="0.25">
      <c r="A96" s="5" t="s">
        <v>94</v>
      </c>
      <c r="B96" s="5" t="s">
        <v>95</v>
      </c>
      <c r="C96" s="5" t="s">
        <v>96</v>
      </c>
      <c r="D96" s="5" t="s">
        <v>53</v>
      </c>
    </row>
    <row r="97" spans="1:4" x14ac:dyDescent="0.25">
      <c r="A97" s="5" t="s">
        <v>8</v>
      </c>
      <c r="B97" s="5" t="s">
        <v>9</v>
      </c>
      <c r="C97" s="5" t="s">
        <v>10</v>
      </c>
      <c r="D97" s="5" t="s">
        <v>11</v>
      </c>
    </row>
    <row r="98" spans="1:4" x14ac:dyDescent="0.25">
      <c r="A98" s="5" t="s">
        <v>12</v>
      </c>
      <c r="B98" s="5" t="s">
        <v>13</v>
      </c>
      <c r="C98" s="5" t="s">
        <v>14</v>
      </c>
      <c r="D98" s="5" t="s">
        <v>11</v>
      </c>
    </row>
    <row r="99" spans="1:4" x14ac:dyDescent="0.25">
      <c r="A99" s="5" t="s">
        <v>21</v>
      </c>
      <c r="B99" s="5" t="s">
        <v>22</v>
      </c>
      <c r="C99" s="5" t="s">
        <v>23</v>
      </c>
      <c r="D99" s="5" t="s">
        <v>11</v>
      </c>
    </row>
    <row r="100" spans="1:4" x14ac:dyDescent="0.25">
      <c r="A100" s="5" t="s">
        <v>24</v>
      </c>
      <c r="B100" s="5" t="s">
        <v>25</v>
      </c>
      <c r="C100" s="5" t="s">
        <v>26</v>
      </c>
      <c r="D100" s="5" t="s">
        <v>11</v>
      </c>
    </row>
    <row r="101" spans="1:4" x14ac:dyDescent="0.25">
      <c r="A101" s="5" t="s">
        <v>27</v>
      </c>
      <c r="B101" s="5" t="s">
        <v>28</v>
      </c>
      <c r="C101" s="5" t="s">
        <v>29</v>
      </c>
      <c r="D101" s="5" t="s">
        <v>11</v>
      </c>
    </row>
    <row r="102" spans="1:4" x14ac:dyDescent="0.25">
      <c r="A102" s="5" t="s">
        <v>61</v>
      </c>
      <c r="B102" s="5" t="s">
        <v>62</v>
      </c>
      <c r="C102" s="5" t="s">
        <v>63</v>
      </c>
      <c r="D102" s="5" t="s">
        <v>11</v>
      </c>
    </row>
    <row r="103" spans="1:4" x14ac:dyDescent="0.25">
      <c r="A103" s="5" t="s">
        <v>64</v>
      </c>
      <c r="B103" s="5" t="s">
        <v>65</v>
      </c>
      <c r="C103" s="5" t="s">
        <v>66</v>
      </c>
      <c r="D103" s="5" t="s">
        <v>11</v>
      </c>
    </row>
    <row r="104" spans="1:4" x14ac:dyDescent="0.25">
      <c r="A104" s="5" t="s">
        <v>300</v>
      </c>
      <c r="B104" s="5" t="s">
        <v>301</v>
      </c>
      <c r="C104" s="5" t="s">
        <v>302</v>
      </c>
      <c r="D104" s="5" t="s">
        <v>11</v>
      </c>
    </row>
    <row r="105" spans="1:4" x14ac:dyDescent="0.25">
      <c r="A105" s="5" t="s">
        <v>303</v>
      </c>
      <c r="B105" s="5" t="s">
        <v>304</v>
      </c>
      <c r="C105" s="5" t="s">
        <v>305</v>
      </c>
      <c r="D105" s="5" t="s">
        <v>11</v>
      </c>
    </row>
    <row r="106" spans="1:4" x14ac:dyDescent="0.25">
      <c r="A106" s="5" t="s">
        <v>306</v>
      </c>
      <c r="B106" s="5" t="s">
        <v>307</v>
      </c>
      <c r="C106" s="5" t="s">
        <v>308</v>
      </c>
      <c r="D106" s="5" t="s">
        <v>11</v>
      </c>
    </row>
    <row r="107" spans="1:4" x14ac:dyDescent="0.25">
      <c r="A107" s="5" t="s">
        <v>309</v>
      </c>
      <c r="B107" s="5" t="s">
        <v>310</v>
      </c>
      <c r="C107" s="5" t="s">
        <v>311</v>
      </c>
      <c r="D107" s="5" t="s">
        <v>11</v>
      </c>
    </row>
    <row r="108" spans="1:4" x14ac:dyDescent="0.25">
      <c r="A108" s="5" t="s">
        <v>312</v>
      </c>
      <c r="B108" s="5" t="s">
        <v>313</v>
      </c>
      <c r="C108" s="5" t="s">
        <v>314</v>
      </c>
      <c r="D108" s="5" t="s">
        <v>11</v>
      </c>
    </row>
    <row r="109" spans="1:4" x14ac:dyDescent="0.25">
      <c r="A109" s="5" t="s">
        <v>315</v>
      </c>
      <c r="B109" s="5" t="s">
        <v>316</v>
      </c>
      <c r="C109" s="5" t="s">
        <v>317</v>
      </c>
      <c r="D109" s="5" t="s">
        <v>11</v>
      </c>
    </row>
    <row r="110" spans="1:4" x14ac:dyDescent="0.25">
      <c r="A110" s="5" t="s">
        <v>318</v>
      </c>
      <c r="B110" s="5" t="s">
        <v>319</v>
      </c>
      <c r="C110" s="5" t="s">
        <v>320</v>
      </c>
      <c r="D110" s="5" t="s">
        <v>11</v>
      </c>
    </row>
    <row r="111" spans="1:4" x14ac:dyDescent="0.25">
      <c r="A111" s="5" t="s">
        <v>321</v>
      </c>
      <c r="B111" s="5" t="s">
        <v>322</v>
      </c>
      <c r="C111" s="5" t="s">
        <v>323</v>
      </c>
      <c r="D111" s="5" t="s">
        <v>11</v>
      </c>
    </row>
    <row r="112" spans="1:4" x14ac:dyDescent="0.25">
      <c r="A112" s="5" t="s">
        <v>324</v>
      </c>
      <c r="B112" s="5" t="s">
        <v>325</v>
      </c>
      <c r="C112" s="5" t="s">
        <v>326</v>
      </c>
      <c r="D112" s="5" t="s">
        <v>11</v>
      </c>
    </row>
    <row r="113" spans="1:4" x14ac:dyDescent="0.25">
      <c r="A113" s="5" t="s">
        <v>327</v>
      </c>
      <c r="B113" s="5" t="s">
        <v>328</v>
      </c>
      <c r="C113" s="5" t="s">
        <v>329</v>
      </c>
      <c r="D113" s="5" t="s">
        <v>11</v>
      </c>
    </row>
    <row r="114" spans="1:4" x14ac:dyDescent="0.25">
      <c r="A114" s="5" t="s">
        <v>330</v>
      </c>
      <c r="B114" s="5" t="s">
        <v>331</v>
      </c>
      <c r="C114" s="5" t="s">
        <v>332</v>
      </c>
      <c r="D114" s="5" t="s">
        <v>11</v>
      </c>
    </row>
    <row r="115" spans="1:4" x14ac:dyDescent="0.25">
      <c r="A115" s="5" t="s">
        <v>333</v>
      </c>
      <c r="B115" s="5" t="s">
        <v>334</v>
      </c>
      <c r="C115" s="5" t="s">
        <v>335</v>
      </c>
      <c r="D115" s="5" t="s">
        <v>11</v>
      </c>
    </row>
    <row r="116" spans="1:4" x14ac:dyDescent="0.25">
      <c r="A116" s="5" t="s">
        <v>336</v>
      </c>
      <c r="B116" s="5" t="s">
        <v>337</v>
      </c>
      <c r="C116" s="5" t="s">
        <v>338</v>
      </c>
      <c r="D116" s="5" t="s">
        <v>11</v>
      </c>
    </row>
    <row r="117" spans="1:4" x14ac:dyDescent="0.25">
      <c r="A117" s="5" t="s">
        <v>339</v>
      </c>
      <c r="B117" s="5" t="s">
        <v>331</v>
      </c>
      <c r="C117" s="5" t="s">
        <v>340</v>
      </c>
      <c r="D117" s="5" t="s">
        <v>11</v>
      </c>
    </row>
    <row r="118" spans="1:4" x14ac:dyDescent="0.25">
      <c r="A118" s="5" t="s">
        <v>341</v>
      </c>
      <c r="B118" s="5" t="s">
        <v>342</v>
      </c>
      <c r="C118" s="5" t="s">
        <v>343</v>
      </c>
      <c r="D118" s="5" t="s">
        <v>11</v>
      </c>
    </row>
    <row r="119" spans="1:4" x14ac:dyDescent="0.25">
      <c r="A119" s="5" t="s">
        <v>344</v>
      </c>
      <c r="B119" s="5" t="s">
        <v>345</v>
      </c>
      <c r="C119" s="5" t="s">
        <v>346</v>
      </c>
      <c r="D119" s="5" t="s">
        <v>11</v>
      </c>
    </row>
    <row r="120" spans="1:4" x14ac:dyDescent="0.25">
      <c r="A120" s="5" t="s">
        <v>347</v>
      </c>
      <c r="B120" s="5" t="s">
        <v>348</v>
      </c>
      <c r="C120" s="5" t="s">
        <v>349</v>
      </c>
      <c r="D120" s="5" t="s">
        <v>11</v>
      </c>
    </row>
    <row r="121" spans="1:4" x14ac:dyDescent="0.25">
      <c r="A121" s="5" t="s">
        <v>356</v>
      </c>
      <c r="B121" s="5" t="s">
        <v>357</v>
      </c>
      <c r="C121" s="5" t="s">
        <v>358</v>
      </c>
      <c r="D121" s="5" t="s">
        <v>359</v>
      </c>
    </row>
    <row r="122" spans="1:4" x14ac:dyDescent="0.25">
      <c r="A122" s="5"/>
      <c r="B122" s="5"/>
      <c r="C122" s="5"/>
      <c r="D122" s="5"/>
    </row>
    <row r="123" spans="1:4" x14ac:dyDescent="0.25">
      <c r="A123" s="5"/>
      <c r="B123" s="5"/>
      <c r="C123" s="5"/>
      <c r="D123" s="5"/>
    </row>
    <row r="124" spans="1:4" x14ac:dyDescent="0.25">
      <c r="A124" s="5"/>
      <c r="B124" s="5"/>
      <c r="C124" s="5"/>
      <c r="D124" s="5"/>
    </row>
    <row r="125" spans="1:4" x14ac:dyDescent="0.25">
      <c r="A125" s="5"/>
      <c r="B125" s="5"/>
      <c r="C125" s="5"/>
      <c r="D125" s="5"/>
    </row>
    <row r="126" spans="1:4" x14ac:dyDescent="0.25">
      <c r="A126" s="5"/>
      <c r="B126" s="5"/>
      <c r="C126" s="5"/>
      <c r="D126" s="5"/>
    </row>
    <row r="127" spans="1:4" x14ac:dyDescent="0.25">
      <c r="A127" s="5"/>
      <c r="B127" s="5"/>
      <c r="C127" s="5"/>
      <c r="D127" s="5"/>
    </row>
    <row r="128" spans="1:4" x14ac:dyDescent="0.25">
      <c r="A128" s="5"/>
      <c r="B128" s="5"/>
      <c r="C128" s="5"/>
      <c r="D128" s="5"/>
    </row>
    <row r="129" spans="1:4" x14ac:dyDescent="0.25">
      <c r="A129" s="5"/>
      <c r="B129" s="5"/>
      <c r="C129" s="5"/>
      <c r="D129" s="5"/>
    </row>
    <row r="130" spans="1:4" x14ac:dyDescent="0.25">
      <c r="A130" s="5"/>
      <c r="B130" s="5"/>
      <c r="C130" s="5"/>
      <c r="D130" s="5"/>
    </row>
    <row r="131" spans="1:4" x14ac:dyDescent="0.25">
      <c r="A131" s="5"/>
      <c r="B131" s="5"/>
      <c r="C131" s="5"/>
      <c r="D131" s="5"/>
    </row>
    <row r="132" spans="1:4" x14ac:dyDescent="0.25">
      <c r="A132" s="5"/>
      <c r="B132" s="5"/>
      <c r="C132" s="5"/>
      <c r="D132" s="5"/>
    </row>
    <row r="133" spans="1:4" x14ac:dyDescent="0.25">
      <c r="A133" s="5"/>
      <c r="B133" s="5"/>
      <c r="C133" s="5"/>
      <c r="D133" s="5"/>
    </row>
    <row r="134" spans="1:4" x14ac:dyDescent="0.25">
      <c r="A134" s="5"/>
      <c r="B134" s="5"/>
      <c r="C134" s="5"/>
      <c r="D134" s="5"/>
    </row>
    <row r="135" spans="1:4" x14ac:dyDescent="0.25">
      <c r="A135" s="5"/>
      <c r="B135" s="5"/>
      <c r="C135" s="5"/>
      <c r="D135" s="5"/>
    </row>
    <row r="136" spans="1:4" x14ac:dyDescent="0.25">
      <c r="A136" s="5"/>
      <c r="B136" s="5"/>
      <c r="C136" s="5"/>
      <c r="D136" s="5"/>
    </row>
    <row r="137" spans="1:4" x14ac:dyDescent="0.25">
      <c r="A137" s="5"/>
      <c r="B137" s="5"/>
      <c r="C137" s="5"/>
      <c r="D137" s="5"/>
    </row>
    <row r="138" spans="1:4" x14ac:dyDescent="0.25">
      <c r="A138" s="5"/>
      <c r="B138" s="5"/>
      <c r="C138" s="5"/>
      <c r="D138" s="5"/>
    </row>
    <row r="139" spans="1:4" x14ac:dyDescent="0.25">
      <c r="A139" s="5"/>
      <c r="B139" s="5"/>
      <c r="C139" s="5"/>
      <c r="D139" s="5"/>
    </row>
    <row r="140" spans="1:4" x14ac:dyDescent="0.25">
      <c r="A140" s="5"/>
      <c r="B140" s="5"/>
      <c r="C140" s="5"/>
      <c r="D140" s="5"/>
    </row>
    <row r="141" spans="1:4" x14ac:dyDescent="0.25">
      <c r="A141" s="5"/>
      <c r="B141" s="5"/>
      <c r="C141" s="5"/>
      <c r="D141" s="5"/>
    </row>
    <row r="142" spans="1:4" x14ac:dyDescent="0.25">
      <c r="A142" s="5"/>
      <c r="B142" s="5"/>
      <c r="C142" s="5"/>
      <c r="D142" s="5"/>
    </row>
    <row r="143" spans="1:4" x14ac:dyDescent="0.25">
      <c r="A143" s="5"/>
      <c r="B143" s="5"/>
      <c r="C143" s="5"/>
      <c r="D143" s="5"/>
    </row>
    <row r="144" spans="1:4" x14ac:dyDescent="0.25">
      <c r="A144" s="5"/>
      <c r="B144" s="5"/>
      <c r="C144" s="5"/>
      <c r="D144" s="5"/>
    </row>
    <row r="145" spans="1:4" x14ac:dyDescent="0.25">
      <c r="A145" s="5"/>
      <c r="B145" s="5"/>
      <c r="C145" s="5"/>
      <c r="D145" s="5"/>
    </row>
    <row r="146" spans="1:4" x14ac:dyDescent="0.25">
      <c r="A146" s="5"/>
      <c r="B146" s="5"/>
      <c r="C146" s="5"/>
      <c r="D146" s="5"/>
    </row>
    <row r="147" spans="1:4" x14ac:dyDescent="0.25">
      <c r="A147" s="5"/>
      <c r="B147" s="5"/>
      <c r="C147" s="5"/>
      <c r="D147" s="5"/>
    </row>
    <row r="148" spans="1:4" x14ac:dyDescent="0.25">
      <c r="A148" s="5"/>
      <c r="B148" s="5"/>
      <c r="C148" s="5"/>
      <c r="D148" s="5"/>
    </row>
    <row r="149" spans="1:4" x14ac:dyDescent="0.25">
      <c r="A149" s="5"/>
      <c r="B149" s="5"/>
      <c r="C149" s="5"/>
      <c r="D149" s="5"/>
    </row>
    <row r="150" spans="1:4" x14ac:dyDescent="0.25">
      <c r="A150" s="5"/>
      <c r="B150" s="5"/>
      <c r="C150" s="5"/>
      <c r="D150" s="5"/>
    </row>
    <row r="151" spans="1:4" x14ac:dyDescent="0.25">
      <c r="A151" s="5"/>
      <c r="B151" s="5"/>
      <c r="C151" s="5"/>
      <c r="D151" s="5"/>
    </row>
    <row r="152" spans="1:4" x14ac:dyDescent="0.25">
      <c r="A152" s="5"/>
      <c r="B152" s="5"/>
      <c r="C152" s="5"/>
      <c r="D152" s="5"/>
    </row>
    <row r="153" spans="1:4" x14ac:dyDescent="0.25">
      <c r="A153" s="5"/>
      <c r="B153" s="5"/>
      <c r="C153" s="5"/>
      <c r="D153" s="5"/>
    </row>
    <row r="154" spans="1:4" x14ac:dyDescent="0.25">
      <c r="A154" s="5"/>
      <c r="B154" s="5"/>
      <c r="C154" s="5"/>
      <c r="D154" s="5"/>
    </row>
    <row r="155" spans="1:4" x14ac:dyDescent="0.25">
      <c r="A155" s="5"/>
      <c r="B155" s="5"/>
      <c r="C155" s="5"/>
      <c r="D155" s="5"/>
    </row>
    <row r="156" spans="1:4" x14ac:dyDescent="0.25">
      <c r="A156" s="5"/>
      <c r="B156" s="5"/>
      <c r="C156" s="5"/>
      <c r="D156" s="5"/>
    </row>
    <row r="157" spans="1:4" x14ac:dyDescent="0.25">
      <c r="A157" s="5"/>
      <c r="B157" s="5"/>
      <c r="C157" s="5"/>
      <c r="D157" s="5"/>
    </row>
    <row r="158" spans="1:4" x14ac:dyDescent="0.25">
      <c r="A158" s="5"/>
      <c r="B158" s="5"/>
      <c r="C158" s="5"/>
      <c r="D158" s="5"/>
    </row>
    <row r="159" spans="1:4" x14ac:dyDescent="0.25">
      <c r="A159" s="5"/>
      <c r="B159" s="5"/>
      <c r="C159" s="5"/>
      <c r="D159" s="5"/>
    </row>
    <row r="160" spans="1:4" x14ac:dyDescent="0.25">
      <c r="A160" s="5"/>
      <c r="B160" s="5"/>
      <c r="C160" s="5"/>
      <c r="D160" s="5"/>
    </row>
    <row r="161" spans="1:4" x14ac:dyDescent="0.25">
      <c r="A161" s="5"/>
      <c r="B161" s="5"/>
      <c r="C161" s="5"/>
      <c r="D161" s="5"/>
    </row>
    <row r="162" spans="1:4" x14ac:dyDescent="0.25">
      <c r="A162" s="5"/>
      <c r="B162" s="5"/>
      <c r="C162" s="5"/>
      <c r="D162" s="5"/>
    </row>
    <row r="163" spans="1:4" x14ac:dyDescent="0.25">
      <c r="A163" s="5"/>
      <c r="B163" s="5"/>
      <c r="C163" s="5"/>
      <c r="D163" s="5"/>
    </row>
    <row r="164" spans="1:4" x14ac:dyDescent="0.25">
      <c r="A164" s="5"/>
      <c r="B164" s="5"/>
      <c r="C164" s="5"/>
      <c r="D164" s="5"/>
    </row>
    <row r="165" spans="1:4" x14ac:dyDescent="0.25">
      <c r="A165" s="5"/>
      <c r="B165" s="5"/>
      <c r="C165" s="5"/>
      <c r="D165" s="5"/>
    </row>
    <row r="166" spans="1:4" x14ac:dyDescent="0.25">
      <c r="A166" s="5"/>
      <c r="B166" s="5"/>
      <c r="C166" s="5"/>
      <c r="D166" s="5"/>
    </row>
    <row r="167" spans="1:4" x14ac:dyDescent="0.25">
      <c r="A167" s="5"/>
      <c r="B167" s="5"/>
      <c r="C167" s="5"/>
      <c r="D167" s="5"/>
    </row>
    <row r="168" spans="1:4" x14ac:dyDescent="0.25">
      <c r="A168" s="5"/>
      <c r="B168" s="5"/>
      <c r="C168" s="5"/>
      <c r="D168" s="5"/>
    </row>
    <row r="169" spans="1:4" x14ac:dyDescent="0.25">
      <c r="A169" s="5"/>
      <c r="B169" s="5"/>
      <c r="C169" s="5"/>
      <c r="D169" s="5"/>
    </row>
    <row r="170" spans="1:4" x14ac:dyDescent="0.25">
      <c r="A170" s="5"/>
      <c r="B170" s="5"/>
      <c r="C170" s="5"/>
      <c r="D170" s="5"/>
    </row>
    <row r="171" spans="1:4" x14ac:dyDescent="0.25">
      <c r="A171" s="5"/>
      <c r="B171" s="5"/>
      <c r="C171" s="5"/>
      <c r="D171" s="5"/>
    </row>
    <row r="172" spans="1:4" x14ac:dyDescent="0.25">
      <c r="A172" s="5"/>
      <c r="B172" s="5"/>
      <c r="C172" s="5"/>
      <c r="D172" s="5"/>
    </row>
    <row r="173" spans="1:4" x14ac:dyDescent="0.25">
      <c r="A173" s="5"/>
      <c r="B173" s="5"/>
      <c r="C173" s="5"/>
      <c r="D173" s="5"/>
    </row>
    <row r="174" spans="1:4" x14ac:dyDescent="0.25">
      <c r="A174" s="5"/>
      <c r="B174" s="5"/>
      <c r="C174" s="5"/>
      <c r="D174" s="5"/>
    </row>
    <row r="175" spans="1:4" x14ac:dyDescent="0.25">
      <c r="A175" s="5"/>
      <c r="B175" s="5"/>
      <c r="C175" s="5"/>
      <c r="D175" s="5"/>
    </row>
    <row r="176" spans="1:4" x14ac:dyDescent="0.25">
      <c r="A176" s="5"/>
      <c r="B176" s="5"/>
      <c r="C176" s="5"/>
      <c r="D176" s="5"/>
    </row>
    <row r="177" spans="1:4" x14ac:dyDescent="0.25">
      <c r="A177" s="5"/>
      <c r="B177" s="5"/>
      <c r="C177" s="5"/>
      <c r="D177" s="5"/>
    </row>
    <row r="178" spans="1:4" x14ac:dyDescent="0.25">
      <c r="A178" s="5"/>
      <c r="B178" s="5"/>
      <c r="C178" s="5"/>
      <c r="D178" s="5"/>
    </row>
    <row r="179" spans="1:4" x14ac:dyDescent="0.25">
      <c r="A179" s="5"/>
      <c r="B179" s="5"/>
      <c r="C179" s="5"/>
      <c r="D179" s="5"/>
    </row>
    <row r="180" spans="1:4" x14ac:dyDescent="0.25">
      <c r="A180" s="5"/>
      <c r="B180" s="5"/>
      <c r="C180" s="5"/>
      <c r="D180" s="5"/>
    </row>
    <row r="181" spans="1:4" x14ac:dyDescent="0.25">
      <c r="A181" s="5"/>
      <c r="B181" s="5"/>
      <c r="C181" s="5"/>
      <c r="D181" s="5"/>
    </row>
    <row r="182" spans="1:4" x14ac:dyDescent="0.25">
      <c r="A182" s="5"/>
      <c r="B182" s="5"/>
      <c r="C182" s="5"/>
      <c r="D182" s="5"/>
    </row>
    <row r="183" spans="1:4" x14ac:dyDescent="0.25">
      <c r="A183" s="5"/>
      <c r="B183" s="5"/>
      <c r="C183" s="5"/>
      <c r="D183" s="5"/>
    </row>
    <row r="184" spans="1:4" x14ac:dyDescent="0.25">
      <c r="A184" s="5"/>
      <c r="B184" s="5"/>
      <c r="C184" s="5"/>
      <c r="D184" s="5"/>
    </row>
    <row r="185" spans="1:4" x14ac:dyDescent="0.25">
      <c r="A185" s="5"/>
      <c r="B185" s="5"/>
      <c r="C185" s="5"/>
      <c r="D185" s="5"/>
    </row>
    <row r="186" spans="1:4" x14ac:dyDescent="0.25">
      <c r="A186" s="5"/>
      <c r="B186" s="5"/>
      <c r="C186" s="5"/>
      <c r="D186" s="5"/>
    </row>
    <row r="187" spans="1:4" x14ac:dyDescent="0.25">
      <c r="A187" s="5"/>
      <c r="B187" s="5"/>
      <c r="C187" s="5"/>
      <c r="D187" s="5"/>
    </row>
    <row r="188" spans="1:4" x14ac:dyDescent="0.25">
      <c r="A188" s="5"/>
      <c r="B188" s="5"/>
      <c r="C188" s="5"/>
      <c r="D188" s="5"/>
    </row>
    <row r="189" spans="1:4" x14ac:dyDescent="0.25">
      <c r="A189" s="5"/>
      <c r="B189" s="5"/>
      <c r="C189" s="5"/>
      <c r="D189" s="5"/>
    </row>
    <row r="190" spans="1:4" x14ac:dyDescent="0.25">
      <c r="A190" s="5"/>
      <c r="B190" s="5"/>
      <c r="C190" s="5"/>
      <c r="D190" s="5"/>
    </row>
    <row r="191" spans="1:4" x14ac:dyDescent="0.25">
      <c r="A191" s="5"/>
      <c r="B191" s="5"/>
      <c r="C191" s="5"/>
      <c r="D191" s="5"/>
    </row>
    <row r="192" spans="1:4" x14ac:dyDescent="0.25">
      <c r="A192" s="5"/>
      <c r="B192" s="5"/>
      <c r="C192" s="5"/>
      <c r="D192" s="5"/>
    </row>
    <row r="193" spans="1:4" x14ac:dyDescent="0.25">
      <c r="A193" s="5"/>
      <c r="B193" s="5"/>
      <c r="C193" s="5"/>
      <c r="D193" s="5"/>
    </row>
    <row r="194" spans="1:4" x14ac:dyDescent="0.25">
      <c r="A194" s="5"/>
      <c r="B194" s="5"/>
      <c r="C194" s="5"/>
      <c r="D194" s="5"/>
    </row>
    <row r="195" spans="1:4" x14ac:dyDescent="0.25">
      <c r="A195" s="5"/>
      <c r="B195" s="5"/>
      <c r="C195" s="5"/>
      <c r="D195" s="5"/>
    </row>
    <row r="196" spans="1:4" x14ac:dyDescent="0.25">
      <c r="A196" s="5"/>
      <c r="B196" s="5"/>
      <c r="C196" s="5"/>
      <c r="D196" s="5"/>
    </row>
    <row r="197" spans="1:4" x14ac:dyDescent="0.25">
      <c r="A197" s="5"/>
      <c r="B197" s="5"/>
      <c r="C197" s="5"/>
      <c r="D197" s="5"/>
    </row>
    <row r="198" spans="1:4" x14ac:dyDescent="0.25">
      <c r="A198" s="5"/>
      <c r="B198" s="5"/>
      <c r="C198" s="5"/>
      <c r="D198" s="5"/>
    </row>
    <row r="199" spans="1:4" x14ac:dyDescent="0.25">
      <c r="A199" s="5"/>
      <c r="B199" s="5"/>
      <c r="C199" s="5"/>
      <c r="D199" s="5"/>
    </row>
    <row r="200" spans="1:4" x14ac:dyDescent="0.25">
      <c r="A200" s="5"/>
      <c r="B200" s="5"/>
      <c r="C200" s="5"/>
      <c r="D200" s="5"/>
    </row>
    <row r="201" spans="1:4" x14ac:dyDescent="0.25">
      <c r="A201" s="5"/>
      <c r="B201" s="5"/>
      <c r="C201" s="5"/>
      <c r="D201" s="5"/>
    </row>
    <row r="202" spans="1:4" x14ac:dyDescent="0.25">
      <c r="A202" s="5"/>
      <c r="B202" s="5"/>
      <c r="C202" s="5"/>
      <c r="D202" s="5"/>
    </row>
    <row r="203" spans="1:4" x14ac:dyDescent="0.25">
      <c r="A203" s="5"/>
      <c r="B203" s="5"/>
      <c r="C203" s="5"/>
      <c r="D203" s="5"/>
    </row>
    <row r="204" spans="1:4" x14ac:dyDescent="0.25">
      <c r="A204" s="5"/>
      <c r="B204" s="5"/>
      <c r="C204" s="5"/>
      <c r="D204" s="5"/>
    </row>
    <row r="205" spans="1:4" x14ac:dyDescent="0.25">
      <c r="A205" s="5"/>
      <c r="B205" s="5"/>
      <c r="C205" s="5"/>
      <c r="D205" s="5"/>
    </row>
    <row r="206" spans="1:4" x14ac:dyDescent="0.25">
      <c r="A206" s="5"/>
      <c r="B206" s="5"/>
      <c r="C206" s="5"/>
      <c r="D206" s="5"/>
    </row>
    <row r="207" spans="1:4" x14ac:dyDescent="0.25">
      <c r="A207" s="5"/>
      <c r="B207" s="5"/>
      <c r="C207" s="5"/>
      <c r="D207" s="5"/>
    </row>
    <row r="208" spans="1:4" x14ac:dyDescent="0.25">
      <c r="A208" s="5"/>
      <c r="B208" s="5"/>
      <c r="C208" s="5"/>
      <c r="D208" s="5"/>
    </row>
    <row r="209" spans="1:4" x14ac:dyDescent="0.25">
      <c r="A209" s="5"/>
      <c r="B209" s="5"/>
      <c r="C209" s="5"/>
      <c r="D209" s="5"/>
    </row>
    <row r="210" spans="1:4" x14ac:dyDescent="0.25">
      <c r="A210" s="5"/>
      <c r="B210" s="5"/>
      <c r="C210" s="5"/>
      <c r="D210" s="5"/>
    </row>
  </sheetData>
  <autoFilter ref="A1:D1" xr:uid="{00000000-0009-0000-0000-000000000000}"/>
  <sortState xmlns:xlrd2="http://schemas.microsoft.com/office/spreadsheetml/2017/richdata2" ref="A2:D126">
    <sortCondition descending="1" ref="D2:D126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D5D367-0784-4F2D-8FC0-0667472D3377}">
  <sheetPr codeName="Hoja2"/>
  <dimension ref="A1:B22"/>
  <sheetViews>
    <sheetView workbookViewId="0">
      <selection activeCell="A2" sqref="A2:B21"/>
    </sheetView>
  </sheetViews>
  <sheetFormatPr baseColWidth="10" defaultRowHeight="15" x14ac:dyDescent="0.25"/>
  <cols>
    <col min="1" max="1" width="22.5703125" bestFit="1" customWidth="1"/>
    <col min="2" max="2" width="31.28515625" bestFit="1" customWidth="1"/>
  </cols>
  <sheetData>
    <row r="1" spans="1:2" x14ac:dyDescent="0.25">
      <c r="A1" s="3" t="s">
        <v>3</v>
      </c>
      <c r="B1" s="3" t="s">
        <v>372</v>
      </c>
    </row>
    <row r="2" spans="1:2" x14ac:dyDescent="0.25">
      <c r="A2" s="6" t="s">
        <v>100</v>
      </c>
      <c r="B2" s="6">
        <v>1</v>
      </c>
    </row>
    <row r="3" spans="1:2" x14ac:dyDescent="0.25">
      <c r="A3" s="6" t="s">
        <v>126</v>
      </c>
      <c r="B3" s="6">
        <v>2</v>
      </c>
    </row>
    <row r="4" spans="1:2" x14ac:dyDescent="0.25">
      <c r="A4" s="6" t="s">
        <v>70</v>
      </c>
      <c r="B4" s="6">
        <v>10</v>
      </c>
    </row>
    <row r="5" spans="1:2" x14ac:dyDescent="0.25">
      <c r="A5" s="6" t="s">
        <v>104</v>
      </c>
      <c r="B5" s="6">
        <v>8</v>
      </c>
    </row>
    <row r="6" spans="1:2" x14ac:dyDescent="0.25">
      <c r="A6" s="6" t="s">
        <v>130</v>
      </c>
      <c r="B6" s="6">
        <v>1</v>
      </c>
    </row>
    <row r="7" spans="1:2" x14ac:dyDescent="0.25">
      <c r="A7" s="6" t="s">
        <v>182</v>
      </c>
      <c r="B7" s="6">
        <v>10</v>
      </c>
    </row>
    <row r="8" spans="1:2" x14ac:dyDescent="0.25">
      <c r="A8" s="6" t="s">
        <v>84</v>
      </c>
      <c r="B8" s="6">
        <v>1</v>
      </c>
    </row>
    <row r="9" spans="1:2" x14ac:dyDescent="0.25">
      <c r="A9" s="6" t="s">
        <v>45</v>
      </c>
      <c r="B9" s="6">
        <v>2</v>
      </c>
    </row>
    <row r="10" spans="1:2" x14ac:dyDescent="0.25">
      <c r="A10" s="6" t="s">
        <v>49</v>
      </c>
      <c r="B10" s="6">
        <v>8</v>
      </c>
    </row>
    <row r="11" spans="1:2" x14ac:dyDescent="0.25">
      <c r="A11" s="6" t="s">
        <v>136</v>
      </c>
      <c r="B11" s="6">
        <v>1</v>
      </c>
    </row>
    <row r="12" spans="1:2" x14ac:dyDescent="0.25">
      <c r="A12" s="6" t="s">
        <v>60</v>
      </c>
      <c r="B12" s="6">
        <v>1</v>
      </c>
    </row>
    <row r="13" spans="1:2" x14ac:dyDescent="0.25">
      <c r="A13" s="6" t="s">
        <v>33</v>
      </c>
      <c r="B13" s="6">
        <v>10</v>
      </c>
    </row>
    <row r="14" spans="1:2" x14ac:dyDescent="0.25">
      <c r="A14" s="6" t="s">
        <v>80</v>
      </c>
      <c r="B14" s="6">
        <v>14</v>
      </c>
    </row>
    <row r="15" spans="1:2" x14ac:dyDescent="0.25">
      <c r="A15" s="6" t="s">
        <v>7</v>
      </c>
      <c r="B15" s="6">
        <v>13</v>
      </c>
    </row>
    <row r="16" spans="1:2" x14ac:dyDescent="0.25">
      <c r="A16" s="6" t="s">
        <v>178</v>
      </c>
      <c r="B16" s="6">
        <v>1</v>
      </c>
    </row>
    <row r="17" spans="1:2" x14ac:dyDescent="0.25">
      <c r="A17" s="6" t="s">
        <v>37</v>
      </c>
      <c r="B17" s="6">
        <v>5</v>
      </c>
    </row>
    <row r="18" spans="1:2" x14ac:dyDescent="0.25">
      <c r="A18" s="6" t="s">
        <v>18</v>
      </c>
      <c r="B18" s="6">
        <v>2</v>
      </c>
    </row>
    <row r="19" spans="1:2" x14ac:dyDescent="0.25">
      <c r="A19" s="6" t="s">
        <v>53</v>
      </c>
      <c r="B19" s="6">
        <v>5</v>
      </c>
    </row>
    <row r="20" spans="1:2" x14ac:dyDescent="0.25">
      <c r="A20" s="6" t="s">
        <v>11</v>
      </c>
      <c r="B20" s="6">
        <v>24</v>
      </c>
    </row>
    <row r="21" spans="1:2" x14ac:dyDescent="0.25">
      <c r="A21" s="6" t="s">
        <v>359</v>
      </c>
      <c r="B21" s="6">
        <v>1</v>
      </c>
    </row>
    <row r="22" spans="1:2" x14ac:dyDescent="0.25">
      <c r="A22" s="6" t="s">
        <v>373</v>
      </c>
      <c r="B22" s="6">
        <f>SUM(B2:B21)</f>
        <v>120</v>
      </c>
    </row>
  </sheetData>
  <autoFilter ref="A1:B1" xr:uid="{AAD5D367-0784-4F2D-8FC0-0667472D3377}"/>
  <sortState xmlns:xlrd2="http://schemas.microsoft.com/office/spreadsheetml/2017/richdata2" ref="A2:B21">
    <sortCondition descending="1" ref="A2:A21"/>
  </sortState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POBLACION</vt:lpstr>
      <vt:lpstr>CLASIFICACION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Egas Clavijo</dc:creator>
  <cp:lastModifiedBy>Gustavo Egas Clavijo</cp:lastModifiedBy>
  <dcterms:created xsi:type="dcterms:W3CDTF">2015-06-05T18:19:34Z</dcterms:created>
  <dcterms:modified xsi:type="dcterms:W3CDTF">2024-07-19T02:40:52Z</dcterms:modified>
</cp:coreProperties>
</file>